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che\OneDrive\Desktop\"/>
    </mc:Choice>
  </mc:AlternateContent>
  <xr:revisionPtr revIDLastSave="0" documentId="13_ncr:1_{623BDAEF-6579-4493-BE6F-C44F8CAF971D}" xr6:coauthVersionLast="47" xr6:coauthVersionMax="47" xr10:uidLastSave="{00000000-0000-0000-0000-000000000000}"/>
  <bookViews>
    <workbookView xWindow="-108" yWindow="-108" windowWidth="23256" windowHeight="12576" firstSheet="5" activeTab="6" xr2:uid="{B3E58B89-BA5A-4103-AE89-927A60205D87}"/>
  </bookViews>
  <sheets>
    <sheet name="Supplier Delay Analysis_2026-06" sheetId="5" state="hidden" r:id="rId1"/>
    <sheet name="Top 10 Suppliers " sheetId="9" state="hidden" r:id="rId2"/>
    <sheet name="Demand vs Supply Analysis_2026-" sheetId="4" state="hidden" r:id="rId3"/>
    <sheet name="Inventory Stock Buffer Analysis" sheetId="3" state="hidden" r:id="rId4"/>
    <sheet name="Supplier On-Time Performance_20" sheetId="2" state="hidden" r:id="rId5"/>
    <sheet name="Executive Summary" sheetId="1" r:id="rId6"/>
    <sheet name="Supplier Performance Dashboard" sheetId="7" r:id="rId7"/>
  </sheets>
  <definedNames>
    <definedName name="_xlnm._FilterDatabase" localSheetId="3" hidden="1">'Inventory Stock Buffer Analysis'!$L$1:$N$1</definedName>
    <definedName name="ExternalData_1" localSheetId="4" hidden="1">'Supplier On-Time Performance_20'!$A$1:$D$51</definedName>
    <definedName name="ExternalData_2" localSheetId="3" hidden="1">'Inventory Stock Buffer Analysis'!$A$1:$E$101</definedName>
    <definedName name="ExternalData_3" localSheetId="2" hidden="1">'Demand vs Supply Analysis_2026-'!$A$1:$E$101</definedName>
    <definedName name="ExternalData_4" localSheetId="0" hidden="1">'Supplier Delay Analysis_2026-06'!$A$1:$D$51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88B77-2D9C-4730-834A-93950094E288}" keepAlive="1" name="Query - Demand vs Supply Analysis_2026-06-19-2327" description="Connection to the 'Demand vs Supply Analysis_2026-06-19-2327' query in the workbook." type="5" refreshedVersion="8" background="1" saveData="1">
    <dbPr connection="Provider=Microsoft.Mashup.OleDb.1;Data Source=$Workbook$;Location=&quot;Demand vs Supply Analysis_2026-06-19-2327&quot;;Extended Properties=&quot;&quot;" command="SELECT * FROM [Demand vs Supply Analysis_2026-06-19-2327]"/>
  </connection>
  <connection id="2" xr16:uid="{CE906859-4708-494E-A450-5E399C08AEF5}" keepAlive="1" name="Query - Inventory Stock Buffer Analysis_2026-06-19-2339" description="Connection to the 'Inventory Stock Buffer Analysis_2026-06-19-2339' query in the workbook." type="5" refreshedVersion="8" background="1" saveData="1">
    <dbPr connection="Provider=Microsoft.Mashup.OleDb.1;Data Source=$Workbook$;Location=&quot;Inventory Stock Buffer Analysis_2026-06-19-2339&quot;;Extended Properties=&quot;&quot;" command="SELECT * FROM [Inventory Stock Buffer Analysis_2026-06-19-2339]"/>
  </connection>
  <connection id="3" xr16:uid="{9739BACC-015E-4ADD-8DEB-DCFE8E8E7F81}" keepAlive="1" name="Query - Supplier Delay Analysis_2026-06-19-2343" description="Connection to the 'Supplier Delay Analysis_2026-06-19-2343' query in the workbook." type="5" refreshedVersion="8" background="1" saveData="1">
    <dbPr connection="Provider=Microsoft.Mashup.OleDb.1;Data Source=$Workbook$;Location=&quot;Supplier Delay Analysis_2026-06-19-2343&quot;;Extended Properties=&quot;&quot;" command="SELECT * FROM [Supplier Delay Analysis_2026-06-19-2343]"/>
  </connection>
  <connection id="4" xr16:uid="{7081543A-78F9-4861-BB4A-F878029DC882}" keepAlive="1" name="Query - Supplier On-Time Performance_2026-06-19-2328" description="Connection to the 'Supplier On-Time Performance_2026-06-19-2328' query in the workbook." type="5" refreshedVersion="8" background="1" saveData="1">
    <dbPr connection="Provider=Microsoft.Mashup.OleDb.1;Data Source=$Workbook$;Location=&quot;Supplier On-Time Performance_2026-06-19-2328&quot;;Extended Properties=&quot;&quot;" command="SELECT * FROM [Supplier On-Time Performance_2026-06-19-2328]"/>
  </connection>
  <connection id="5" xr16:uid="{0A48B1CA-17D5-4E0A-8D79-13D2BAF0B893}" keepAlive="1" name="Query - Top 10 Most Demanded Products _2026-06-19-2321" description="Connection to the 'Top 10 Most Demanded Products _2026-06-19-2321' query in the workbook." type="5" refreshedVersion="8" background="1" saveData="1">
    <dbPr connection="Provider=Microsoft.Mashup.OleDb.1;Data Source=$Workbook$;Location=&quot;Top 10 Most Demanded Products _2026-06-19-2321&quot;;Extended Properties=&quot;&quot;" command="SELECT * FROM [Top 10 Most Demanded Products _2026-06-19-2321]"/>
  </connection>
</connections>
</file>

<file path=xl/sharedStrings.xml><?xml version="1.0" encoding="utf-8"?>
<sst xmlns="http://schemas.openxmlformats.org/spreadsheetml/2006/main" count="731" uniqueCount="348">
  <si>
    <t>SUPPLIERID</t>
  </si>
  <si>
    <t>SUPPLIERNAME</t>
  </si>
  <si>
    <t>TOTAL_ORDERS</t>
  </si>
  <si>
    <t>ON_TIME_PERCENT</t>
  </si>
  <si>
    <t>S034</t>
  </si>
  <si>
    <t>Supplier_34</t>
  </si>
  <si>
    <t>S033</t>
  </si>
  <si>
    <t>Supplier_33</t>
  </si>
  <si>
    <t>S045</t>
  </si>
  <si>
    <t>Supplier_45</t>
  </si>
  <si>
    <t>S003</t>
  </si>
  <si>
    <t>Supplier_3</t>
  </si>
  <si>
    <t>S050</t>
  </si>
  <si>
    <t>Supplier_50</t>
  </si>
  <si>
    <t>S016</t>
  </si>
  <si>
    <t>Supplier_16</t>
  </si>
  <si>
    <t>S048</t>
  </si>
  <si>
    <t>Supplier_48</t>
  </si>
  <si>
    <t>S007</t>
  </si>
  <si>
    <t>Supplier_7</t>
  </si>
  <si>
    <t>S006</t>
  </si>
  <si>
    <t>Supplier_6</t>
  </si>
  <si>
    <t>S026</t>
  </si>
  <si>
    <t>Supplier_26</t>
  </si>
  <si>
    <t>S015</t>
  </si>
  <si>
    <t>Supplier_15</t>
  </si>
  <si>
    <t>S027</t>
  </si>
  <si>
    <t>Supplier_27</t>
  </si>
  <si>
    <t>S042</t>
  </si>
  <si>
    <t>Supplier_42</t>
  </si>
  <si>
    <t>S005</t>
  </si>
  <si>
    <t>Supplier_5</t>
  </si>
  <si>
    <t>S023</t>
  </si>
  <si>
    <t>Supplier_23</t>
  </si>
  <si>
    <t>S036</t>
  </si>
  <si>
    <t>Supplier_36</t>
  </si>
  <si>
    <t>S032</t>
  </si>
  <si>
    <t>Supplier_32</t>
  </si>
  <si>
    <t>S044</t>
  </si>
  <si>
    <t>Supplier_44</t>
  </si>
  <si>
    <t>S008</t>
  </si>
  <si>
    <t>Supplier_8</t>
  </si>
  <si>
    <t>S030</t>
  </si>
  <si>
    <t>Supplier_30</t>
  </si>
  <si>
    <t>S035</t>
  </si>
  <si>
    <t>Supplier_35</t>
  </si>
  <si>
    <t>S024</t>
  </si>
  <si>
    <t>Supplier_24</t>
  </si>
  <si>
    <t>S018</t>
  </si>
  <si>
    <t>Supplier_18</t>
  </si>
  <si>
    <t>S001</t>
  </si>
  <si>
    <t>Supplier_1</t>
  </si>
  <si>
    <t>S025</t>
  </si>
  <si>
    <t>Supplier_25</t>
  </si>
  <si>
    <t>S049</t>
  </si>
  <si>
    <t>Supplier_49</t>
  </si>
  <si>
    <t>S031</t>
  </si>
  <si>
    <t>Supplier_31</t>
  </si>
  <si>
    <t>S046</t>
  </si>
  <si>
    <t>Supplier_46</t>
  </si>
  <si>
    <t>S043</t>
  </si>
  <si>
    <t>Supplier_43</t>
  </si>
  <si>
    <t>S017</t>
  </si>
  <si>
    <t>Supplier_17</t>
  </si>
  <si>
    <t>S041</t>
  </si>
  <si>
    <t>Supplier_41</t>
  </si>
  <si>
    <t>S021</t>
  </si>
  <si>
    <t>Supplier_21</t>
  </si>
  <si>
    <t>S013</t>
  </si>
  <si>
    <t>Supplier_13</t>
  </si>
  <si>
    <t>S020</t>
  </si>
  <si>
    <t>Supplier_20</t>
  </si>
  <si>
    <t>S029</t>
  </si>
  <si>
    <t>Supplier_29</t>
  </si>
  <si>
    <t>S010</t>
  </si>
  <si>
    <t>Supplier_10</t>
  </si>
  <si>
    <t>S004</t>
  </si>
  <si>
    <t>Supplier_4</t>
  </si>
  <si>
    <t>S022</t>
  </si>
  <si>
    <t>Supplier_22</t>
  </si>
  <si>
    <t>S038</t>
  </si>
  <si>
    <t>Supplier_38</t>
  </si>
  <si>
    <t>S011</t>
  </si>
  <si>
    <t>Supplier_11</t>
  </si>
  <si>
    <t>S028</t>
  </si>
  <si>
    <t>Supplier_28</t>
  </si>
  <si>
    <t>S019</t>
  </si>
  <si>
    <t>Supplier_19</t>
  </si>
  <si>
    <t>S002</t>
  </si>
  <si>
    <t>Supplier_2</t>
  </si>
  <si>
    <t>S039</t>
  </si>
  <si>
    <t>Supplier_39</t>
  </si>
  <si>
    <t>S047</t>
  </si>
  <si>
    <t>Supplier_47</t>
  </si>
  <si>
    <t>S037</t>
  </si>
  <si>
    <t>Supplier_37</t>
  </si>
  <si>
    <t>S009</t>
  </si>
  <si>
    <t>Supplier_9</t>
  </si>
  <si>
    <t>S040</t>
  </si>
  <si>
    <t>Supplier_40</t>
  </si>
  <si>
    <t>S012</t>
  </si>
  <si>
    <t>Supplier_12</t>
  </si>
  <si>
    <t>S014</t>
  </si>
  <si>
    <t>Supplier_14</t>
  </si>
  <si>
    <t>PRODUCTID</t>
  </si>
  <si>
    <t>PRODUCTNAME</t>
  </si>
  <si>
    <t>REORDERPOINT</t>
  </si>
  <si>
    <t>CURRENTSTOCK</t>
  </si>
  <si>
    <t>STOCKBUFFER</t>
  </si>
  <si>
    <t>P085</t>
  </si>
  <si>
    <t>Fasteners 85</t>
  </si>
  <si>
    <t>P050</t>
  </si>
  <si>
    <t>Bearings 50</t>
  </si>
  <si>
    <t>P019</t>
  </si>
  <si>
    <t>Hydraulic Parts 19</t>
  </si>
  <si>
    <t>P012</t>
  </si>
  <si>
    <t>Fasteners 12</t>
  </si>
  <si>
    <t>P014</t>
  </si>
  <si>
    <t>Filters 14</t>
  </si>
  <si>
    <t>P015</t>
  </si>
  <si>
    <t>Bearings 15</t>
  </si>
  <si>
    <t>P073</t>
  </si>
  <si>
    <t>Fasteners 73</t>
  </si>
  <si>
    <t>P088</t>
  </si>
  <si>
    <t>Electrical Components 88</t>
  </si>
  <si>
    <t>P066</t>
  </si>
  <si>
    <t>Gaskets 66</t>
  </si>
  <si>
    <t>P042</t>
  </si>
  <si>
    <t>Packaging 42</t>
  </si>
  <si>
    <t>P084</t>
  </si>
  <si>
    <t>Gaskets 84</t>
  </si>
  <si>
    <t>P033</t>
  </si>
  <si>
    <t>Filters 33</t>
  </si>
  <si>
    <t>P020</t>
  </si>
  <si>
    <t>Filters 20</t>
  </si>
  <si>
    <t>P005</t>
  </si>
  <si>
    <t>Electrical Components 5</t>
  </si>
  <si>
    <t>P063</t>
  </si>
  <si>
    <t>Packaging 63</t>
  </si>
  <si>
    <t>P094</t>
  </si>
  <si>
    <t>Filters 94</t>
  </si>
  <si>
    <t>P055</t>
  </si>
  <si>
    <t>Packaging 55</t>
  </si>
  <si>
    <t>P022</t>
  </si>
  <si>
    <t>Gaskets 22</t>
  </si>
  <si>
    <t>P034</t>
  </si>
  <si>
    <t>Filters 34</t>
  </si>
  <si>
    <t>P041</t>
  </si>
  <si>
    <t>Hydraulic Parts 41</t>
  </si>
  <si>
    <t>P028</t>
  </si>
  <si>
    <t>Filters 28</t>
  </si>
  <si>
    <t>P095</t>
  </si>
  <si>
    <t>Filters 95</t>
  </si>
  <si>
    <t>P078</t>
  </si>
  <si>
    <t>Bearings 78</t>
  </si>
  <si>
    <t>P040</t>
  </si>
  <si>
    <t>Engine Parts 40</t>
  </si>
  <si>
    <t>P069</t>
  </si>
  <si>
    <t>Filters 69</t>
  </si>
  <si>
    <t>P044</t>
  </si>
  <si>
    <t>Gaskets 44</t>
  </si>
  <si>
    <t>P035</t>
  </si>
  <si>
    <t>Electrical Components 35</t>
  </si>
  <si>
    <t>P070</t>
  </si>
  <si>
    <t>Hydraulic Parts 70</t>
  </si>
  <si>
    <t>P068</t>
  </si>
  <si>
    <t>Filters 68</t>
  </si>
  <si>
    <t>P086</t>
  </si>
  <si>
    <t>Electrical Components 86</t>
  </si>
  <si>
    <t>P092</t>
  </si>
  <si>
    <t>Hydraulic Parts 92</t>
  </si>
  <si>
    <t>P036</t>
  </si>
  <si>
    <t>Fasteners 36</t>
  </si>
  <si>
    <t>P075</t>
  </si>
  <si>
    <t>Engine Parts 75</t>
  </si>
  <si>
    <t>P083</t>
  </si>
  <si>
    <t>Packaging 83</t>
  </si>
  <si>
    <t>P060</t>
  </si>
  <si>
    <t>Gaskets 60</t>
  </si>
  <si>
    <t>P051</t>
  </si>
  <si>
    <t>Bearings 51</t>
  </si>
  <si>
    <t>P016</t>
  </si>
  <si>
    <t>Filters 16</t>
  </si>
  <si>
    <t>P098</t>
  </si>
  <si>
    <t>Packaging 98</t>
  </si>
  <si>
    <t>P045</t>
  </si>
  <si>
    <t>Hydraulic Parts 45</t>
  </si>
  <si>
    <t>P074</t>
  </si>
  <si>
    <t>Engine Parts 74</t>
  </si>
  <si>
    <t>P072</t>
  </si>
  <si>
    <t>Fasteners 72</t>
  </si>
  <si>
    <t>P049</t>
  </si>
  <si>
    <t>Packaging 49</t>
  </si>
  <si>
    <t>P058</t>
  </si>
  <si>
    <t>Bearings 58</t>
  </si>
  <si>
    <t>P025</t>
  </si>
  <si>
    <t>Packaging 25</t>
  </si>
  <si>
    <t>P039</t>
  </si>
  <si>
    <t>Gaskets 39</t>
  </si>
  <si>
    <t>P091</t>
  </si>
  <si>
    <t>Gaskets 91</t>
  </si>
  <si>
    <t>P024</t>
  </si>
  <si>
    <t>Electrical Components 24</t>
  </si>
  <si>
    <t>P037</t>
  </si>
  <si>
    <t>Packaging 37</t>
  </si>
  <si>
    <t>P089</t>
  </si>
  <si>
    <t>Bearings 89</t>
  </si>
  <si>
    <t>P047</t>
  </si>
  <si>
    <t>Bearings 47</t>
  </si>
  <si>
    <t>P059</t>
  </si>
  <si>
    <t>Gaskets 59</t>
  </si>
  <si>
    <t>P079</t>
  </si>
  <si>
    <t>Filters 79</t>
  </si>
  <si>
    <t>P023</t>
  </si>
  <si>
    <t>Engine Parts 23</t>
  </si>
  <si>
    <t>P032</t>
  </si>
  <si>
    <t>Bearings 32</t>
  </si>
  <si>
    <t>P061</t>
  </si>
  <si>
    <t>Hydraulic Parts 61</t>
  </si>
  <si>
    <t>P093</t>
  </si>
  <si>
    <t>Electrical Components 93</t>
  </si>
  <si>
    <t>P038</t>
  </si>
  <si>
    <t>Hydraulic Parts 38</t>
  </si>
  <si>
    <t>P006</t>
  </si>
  <si>
    <t>Engine Parts 6</t>
  </si>
  <si>
    <t>P087</t>
  </si>
  <si>
    <t>Filters 87</t>
  </si>
  <si>
    <t>P031</t>
  </si>
  <si>
    <t>Hydraulic Parts 31</t>
  </si>
  <si>
    <t>P076</t>
  </si>
  <si>
    <t>Electrical Components 76</t>
  </si>
  <si>
    <t>P009</t>
  </si>
  <si>
    <t>Fasteners 9</t>
  </si>
  <si>
    <t>P071</t>
  </si>
  <si>
    <t>Fasteners 71</t>
  </si>
  <si>
    <t>P053</t>
  </si>
  <si>
    <t>Filters 53</t>
  </si>
  <si>
    <t>P077</t>
  </si>
  <si>
    <t>Engine Parts 77</t>
  </si>
  <si>
    <t>P046</t>
  </si>
  <si>
    <t>Bearings 46</t>
  </si>
  <si>
    <t>P065</t>
  </si>
  <si>
    <t>Fasteners 65</t>
  </si>
  <si>
    <t>P007</t>
  </si>
  <si>
    <t>Filters 7</t>
  </si>
  <si>
    <t>P030</t>
  </si>
  <si>
    <t>Engine Parts 30</t>
  </si>
  <si>
    <t>P056</t>
  </si>
  <si>
    <t>Engine Parts 56</t>
  </si>
  <si>
    <t>P064</t>
  </si>
  <si>
    <t>Bearings 64</t>
  </si>
  <si>
    <t>P081</t>
  </si>
  <si>
    <t>Electrical Components 81</t>
  </si>
  <si>
    <t>P099</t>
  </si>
  <si>
    <t>Hydraulic Parts 99</t>
  </si>
  <si>
    <t>P010</t>
  </si>
  <si>
    <t>Electrical Components 10</t>
  </si>
  <si>
    <t>P062</t>
  </si>
  <si>
    <t>Gaskets 62</t>
  </si>
  <si>
    <t>P082</t>
  </si>
  <si>
    <t>Electrical Components 82</t>
  </si>
  <si>
    <t>P067</t>
  </si>
  <si>
    <t>Fasteners 67</t>
  </si>
  <si>
    <t>P057</t>
  </si>
  <si>
    <t>Packaging 57</t>
  </si>
  <si>
    <t>P017</t>
  </si>
  <si>
    <t>Gaskets 17</t>
  </si>
  <si>
    <t>P100</t>
  </si>
  <si>
    <t>Gaskets 100</t>
  </si>
  <si>
    <t>P048</t>
  </si>
  <si>
    <t>Packaging 48</t>
  </si>
  <si>
    <t>P052</t>
  </si>
  <si>
    <t>Packaging 52</t>
  </si>
  <si>
    <t>P097</t>
  </si>
  <si>
    <t>Hydraulic Parts 97</t>
  </si>
  <si>
    <t>P008</t>
  </si>
  <si>
    <t>Electrical Components 8</t>
  </si>
  <si>
    <t>P013</t>
  </si>
  <si>
    <t>Electrical Components 13</t>
  </si>
  <si>
    <t>P003</t>
  </si>
  <si>
    <t>Electrical Components 3</t>
  </si>
  <si>
    <t>P090</t>
  </si>
  <si>
    <t>Engine Parts 90</t>
  </si>
  <si>
    <t>P043</t>
  </si>
  <si>
    <t>Packaging 43</t>
  </si>
  <si>
    <t>P026</t>
  </si>
  <si>
    <t>Bearings 26</t>
  </si>
  <si>
    <t>P004</t>
  </si>
  <si>
    <t>Gaskets 4</t>
  </si>
  <si>
    <t>P018</t>
  </si>
  <si>
    <t>Hydraulic Parts 18</t>
  </si>
  <si>
    <t>P002</t>
  </si>
  <si>
    <t>Filters 2</t>
  </si>
  <si>
    <t>P001</t>
  </si>
  <si>
    <t>Bearings 1</t>
  </si>
  <si>
    <t>P021</t>
  </si>
  <si>
    <t>Fasteners 21</t>
  </si>
  <si>
    <t>P011</t>
  </si>
  <si>
    <t>Hydraulic Parts 11</t>
  </si>
  <si>
    <t>P029</t>
  </si>
  <si>
    <t>Gaskets 29</t>
  </si>
  <si>
    <t>P096</t>
  </si>
  <si>
    <t>Fasteners 96</t>
  </si>
  <si>
    <t>P054</t>
  </si>
  <si>
    <t>Packaging 54</t>
  </si>
  <si>
    <t>P027</t>
  </si>
  <si>
    <t>Electrical Components 27</t>
  </si>
  <si>
    <t>P080</t>
  </si>
  <si>
    <t>Electrical Components 80</t>
  </si>
  <si>
    <t>TOTAL_DEMAND</t>
  </si>
  <si>
    <t>TOTAL_STOCK</t>
  </si>
  <si>
    <t>STOCK_BALANCE</t>
  </si>
  <si>
    <t>AVG_DELAY_DAYS</t>
  </si>
  <si>
    <t xml:space="preserve">KPI </t>
  </si>
  <si>
    <t>Value</t>
  </si>
  <si>
    <t>Total Products</t>
  </si>
  <si>
    <t>Total Suppliers</t>
  </si>
  <si>
    <t xml:space="preserve">Total Purchase Orders </t>
  </si>
  <si>
    <t>Total Deliveries</t>
  </si>
  <si>
    <t xml:space="preserve">Worst Supplier </t>
  </si>
  <si>
    <t>Avg Supplier Delay</t>
  </si>
  <si>
    <t>5.3 Days</t>
  </si>
  <si>
    <t>Finding</t>
  </si>
  <si>
    <t>Impact</t>
  </si>
  <si>
    <t>Supplier_39 has highest delay</t>
  </si>
  <si>
    <t>Production planning risk</t>
  </si>
  <si>
    <t>Supplier reliability issue</t>
  </si>
  <si>
    <t>P019 inventory deficit</t>
  </si>
  <si>
    <t>Stockout risk</t>
  </si>
  <si>
    <t>P085 inventory deficit</t>
  </si>
  <si>
    <t>Replenishment required</t>
  </si>
  <si>
    <t>On-Time Delivery is 25.80%</t>
  </si>
  <si>
    <t>Recommendation</t>
  </si>
  <si>
    <t>Review Supplier_39 performance</t>
  </si>
  <si>
    <t>Improve supplier delivery compliance</t>
  </si>
  <si>
    <t>Increase safety stock for P019</t>
  </si>
  <si>
    <t>Monitor P085 demand trends</t>
  </si>
  <si>
    <t>Implement proactive reorder planning</t>
  </si>
  <si>
    <t xml:space="preserve"> On-Time Deliveries %</t>
  </si>
  <si>
    <t>Products with Inventory deficit</t>
  </si>
  <si>
    <t>SupplierName</t>
  </si>
  <si>
    <t>AvgDelayDays</t>
  </si>
  <si>
    <t>ProductID</t>
  </si>
  <si>
    <t xml:space="preserve">   </t>
  </si>
  <si>
    <t xml:space="preserve"> Deficit</t>
  </si>
  <si>
    <t xml:space="preserve">P019    </t>
  </si>
  <si>
    <t xml:space="preserve">Total Products </t>
  </si>
  <si>
    <t>On-Time Deliveries %  25.8%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</si>
</sst>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3" borderId="3" xfId="0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3" borderId="2" xfId="0" applyFill="1" applyBorder="1"/>
    <xf numFmtId="0" fontId="0" fillId="0" borderId="2" xfId="0" applyBorder="1"/>
    <xf numFmtId="0" fontId="0" fillId="3" borderId="4" xfId="0" applyFill="1" applyBorder="1"/>
    <xf numFmtId="0" fontId="0" fillId="3" borderId="1" xfId="0" applyFill="1" applyBorder="1"/>
    <xf numFmtId="0" fontId="0" fillId="0" borderId="1" xfId="0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2" borderId="4" xfId="0" applyFont="1" applyFill="1" applyBorder="1"/>
    <xf numFmtId="1" fontId="0" fillId="3" borderId="4" xfId="0" applyNumberFormat="1" applyFill="1" applyBorder="1"/>
    <xf numFmtId="1" fontId="0" fillId="0" borderId="4" xfId="0" applyNumberFormat="1" applyBorder="1"/>
    <xf numFmtId="0" fontId="4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2" fillId="0" borderId="8" xfId="0" applyFont="1" applyBorder="1" applyAlignment="1">
      <alignment horizontal="center"/>
    </xf>
    <xf numFmtId="0" fontId="4" fillId="0" borderId="0" xfId="0" applyFont="1" applyBorder="1"/>
    <xf numFmtId="0" fontId="5" fillId="5" borderId="13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right" vertical="center"/>
    </xf>
    <xf numFmtId="0" fontId="5" fillId="6" borderId="14" xfId="0" applyFont="1" applyFill="1" applyBorder="1" applyAlignment="1">
      <alignment horizontal="right" vertical="center"/>
    </xf>
    <xf numFmtId="0" fontId="5" fillId="5" borderId="14" xfId="0" applyFont="1" applyFill="1" applyBorder="1" applyAlignment="1">
      <alignment horizontal="right" vertical="center"/>
    </xf>
    <xf numFmtId="0" fontId="5" fillId="6" borderId="14" xfId="0" applyFont="1" applyFill="1" applyBorder="1" applyAlignment="1">
      <alignment horizontal="left" vertical="center"/>
    </xf>
    <xf numFmtId="0" fontId="0" fillId="0" borderId="9" xfId="0" applyBorder="1"/>
    <xf numFmtId="0" fontId="0" fillId="0" borderId="9" xfId="0" applyBorder="1" applyAlignment="1">
      <alignment vertical="center"/>
    </xf>
    <xf numFmtId="10" fontId="2" fillId="0" borderId="8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0" fillId="0" borderId="17" xfId="0" applyBorder="1"/>
    <xf numFmtId="0" fontId="2" fillId="0" borderId="18" xfId="0" applyFont="1" applyBorder="1" applyAlignment="1">
      <alignment horizontal="center"/>
    </xf>
    <xf numFmtId="0" fontId="0" fillId="0" borderId="18" xfId="0" applyBorder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Suppliers by Average Delivery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Suppliers '!$B$1</c:f>
              <c:strCache>
                <c:ptCount val="1"/>
                <c:pt idx="0">
                  <c:v>AvgDelayDays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Suppliers '!$A$2:$A$11</c:f>
              <c:strCache>
                <c:ptCount val="10"/>
                <c:pt idx="0">
                  <c:v>Supplier_39</c:v>
                </c:pt>
                <c:pt idx="1">
                  <c:v>Supplier_2</c:v>
                </c:pt>
                <c:pt idx="2">
                  <c:v>Supplier_12</c:v>
                </c:pt>
                <c:pt idx="3">
                  <c:v>Supplier_47</c:v>
                </c:pt>
                <c:pt idx="4">
                  <c:v>Supplier_24</c:v>
                </c:pt>
                <c:pt idx="5">
                  <c:v>Supplier_40</c:v>
                </c:pt>
                <c:pt idx="6">
                  <c:v>Supplier_11</c:v>
                </c:pt>
                <c:pt idx="7">
                  <c:v>Supplier_37</c:v>
                </c:pt>
                <c:pt idx="8">
                  <c:v>Supplier_19</c:v>
                </c:pt>
                <c:pt idx="9">
                  <c:v>Supplier_29</c:v>
                </c:pt>
              </c:strCache>
            </c:strRef>
          </c:cat>
          <c:val>
            <c:numRef>
              <c:f>'Top 10 Suppliers '!$B$2:$B$11</c:f>
              <c:numCache>
                <c:formatCode>General</c:formatCode>
                <c:ptCount val="10"/>
                <c:pt idx="0">
                  <c:v>5.3</c:v>
                </c:pt>
                <c:pt idx="1">
                  <c:v>4.9583329999999997</c:v>
                </c:pt>
                <c:pt idx="2">
                  <c:v>4.9375</c:v>
                </c:pt>
                <c:pt idx="3">
                  <c:v>4.7096770000000001</c:v>
                </c:pt>
                <c:pt idx="4">
                  <c:v>4.7</c:v>
                </c:pt>
                <c:pt idx="5">
                  <c:v>4.6774190000000004</c:v>
                </c:pt>
                <c:pt idx="6">
                  <c:v>4.65625</c:v>
                </c:pt>
                <c:pt idx="7">
                  <c:v>4.6451609999999999</c:v>
                </c:pt>
                <c:pt idx="8">
                  <c:v>4.5142860000000002</c:v>
                </c:pt>
                <c:pt idx="9">
                  <c:v>4.4666670000000002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5-4DE3-B519-42888EB43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586447"/>
        <c:axId val="763608047"/>
      </c:barChart>
      <c:catAx>
        <c:axId val="76358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8047"/>
        <c:crosses val="autoZero"/>
        <c:auto val="1"/>
        <c:lblAlgn val="ctr"/>
        <c:lblOffset val="100"/>
        <c:noMultiLvlLbl val="0"/>
      </c:catAx>
      <c:valAx>
        <c:axId val="7636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8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with Inventory Deficit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5603674540683"/>
          <c:y val="0.16708333333333336"/>
          <c:w val="0.8698772965879265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Suppliers '!$P$9</c:f>
              <c:strCache>
                <c:ptCount val="1"/>
                <c:pt idx="0">
                  <c:v> Deficit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Suppliers '!$O$10:$O$11</c:f>
              <c:strCache>
                <c:ptCount val="2"/>
                <c:pt idx="0">
                  <c:v>P019    </c:v>
                </c:pt>
                <c:pt idx="1">
                  <c:v>P085</c:v>
                </c:pt>
              </c:strCache>
            </c:strRef>
          </c:cat>
          <c:val>
            <c:numRef>
              <c:f>'Top 10 Suppliers '!$P$10:$P$11</c:f>
              <c:numCache>
                <c:formatCode>General</c:formatCode>
                <c:ptCount val="2"/>
                <c:pt idx="0">
                  <c:v>-4670</c:v>
                </c:pt>
                <c:pt idx="1">
                  <c:v>-3078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B-47FD-A31A-A77873B3D2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3606607"/>
        <c:axId val="763607087"/>
      </c:barChart>
      <c:catAx>
        <c:axId val="76360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7087"/>
        <c:crosses val="autoZero"/>
        <c:auto val="1"/>
        <c:lblAlgn val="ctr"/>
        <c:lblOffset val="100"/>
        <c:noMultiLvlLbl val="0"/>
      </c:catAx>
      <c:valAx>
        <c:axId val="7636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demanded products</a:t>
            </a:r>
            <a:endParaRPr lang="en-US"/>
          </a:p>
        </c:rich>
      </c:tx>
      <c:layout>
        <c:manualLayout>
          <c:xMode val="edge"/>
          <c:yMode val="edge"/>
          <c:x val="0.27780731468395509"/>
          <c:y val="3.7921880925293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'Demand vs Supply Analysis_2026-'!$K$1</c:f>
              <c:strCache>
                <c:ptCount val="1"/>
                <c:pt idx="0">
                  <c:v>TOTAL_DEMAND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vs Supply Analysis_2026-'!$J$2:$J$11</c:f>
              <c:strCache>
                <c:ptCount val="10"/>
                <c:pt idx="0">
                  <c:v>Electrical Components 35</c:v>
                </c:pt>
                <c:pt idx="1">
                  <c:v>Gaskets 39</c:v>
                </c:pt>
                <c:pt idx="2">
                  <c:v>Engine Parts 77</c:v>
                </c:pt>
                <c:pt idx="3">
                  <c:v>Hydraulic Parts 99</c:v>
                </c:pt>
                <c:pt idx="4">
                  <c:v>Hydraulic Parts 41</c:v>
                </c:pt>
                <c:pt idx="5">
                  <c:v>Fasteners 96</c:v>
                </c:pt>
                <c:pt idx="6">
                  <c:v>Packaging 83</c:v>
                </c:pt>
                <c:pt idx="7">
                  <c:v>Hydraulic Parts 19</c:v>
                </c:pt>
                <c:pt idx="8">
                  <c:v>Fasteners 73</c:v>
                </c:pt>
                <c:pt idx="9">
                  <c:v>Packaging 48</c:v>
                </c:pt>
              </c:strCache>
            </c:strRef>
          </c:cat>
          <c:val>
            <c:numRef>
              <c:f>'Demand vs Supply Analysis_2026-'!$K$2:$K$11</c:f>
              <c:numCache>
                <c:formatCode>General</c:formatCode>
                <c:ptCount val="10"/>
                <c:pt idx="0">
                  <c:v>216000</c:v>
                </c:pt>
                <c:pt idx="1">
                  <c:v>198720</c:v>
                </c:pt>
                <c:pt idx="2">
                  <c:v>195930</c:v>
                </c:pt>
                <c:pt idx="3">
                  <c:v>194701</c:v>
                </c:pt>
                <c:pt idx="4">
                  <c:v>193851</c:v>
                </c:pt>
                <c:pt idx="5">
                  <c:v>182588</c:v>
                </c:pt>
                <c:pt idx="6">
                  <c:v>180489</c:v>
                </c:pt>
                <c:pt idx="7">
                  <c:v>179520</c:v>
                </c:pt>
                <c:pt idx="8">
                  <c:v>178448</c:v>
                </c:pt>
                <c:pt idx="9">
                  <c:v>170028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D-47DD-A7EB-808FD2314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7100415"/>
        <c:axId val="1227087455"/>
      </c:barChart>
      <c:catAx>
        <c:axId val="122710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87455"/>
        <c:crosses val="autoZero"/>
        <c:auto val="1"/>
        <c:lblAlgn val="ctr"/>
        <c:lblOffset val="100"/>
        <c:noMultiLvlLbl val="0"/>
      </c:catAx>
      <c:valAx>
        <c:axId val="12270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Products with Lowest Inventory Buffer</a:t>
            </a:r>
          </a:p>
        </c:rich>
      </c:tx>
      <c:layout>
        <c:manualLayout>
          <c:xMode val="edge"/>
          <c:yMode val="edge"/>
          <c:x val="0.1844512248468941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'Inventory Stock Buffer Analysis'!$N$1</c:f>
              <c:strCache>
                <c:ptCount val="1"/>
                <c:pt idx="0">
                  <c:v>STOCKBUFFER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Stock Buffer Analysis'!$M$2:$M$11</c:f>
              <c:strCache>
                <c:ptCount val="10"/>
                <c:pt idx="0">
                  <c:v>Fasteners 85</c:v>
                </c:pt>
                <c:pt idx="1">
                  <c:v>Bearings 50</c:v>
                </c:pt>
                <c:pt idx="2">
                  <c:v>Hydraulic Parts 19</c:v>
                </c:pt>
                <c:pt idx="3">
                  <c:v>Fasteners 12</c:v>
                </c:pt>
                <c:pt idx="4">
                  <c:v>Filters 14</c:v>
                </c:pt>
                <c:pt idx="5">
                  <c:v>Bearings 15</c:v>
                </c:pt>
                <c:pt idx="6">
                  <c:v>Fasteners 73</c:v>
                </c:pt>
                <c:pt idx="7">
                  <c:v>Electrical Components 88</c:v>
                </c:pt>
                <c:pt idx="8">
                  <c:v>Gaskets 66</c:v>
                </c:pt>
                <c:pt idx="9">
                  <c:v>Packaging 42</c:v>
                </c:pt>
              </c:strCache>
            </c:strRef>
          </c:cat>
          <c:val>
            <c:numRef>
              <c:f>'Inventory Stock Buffer Analysis'!$N$2:$N$11</c:f>
              <c:numCache>
                <c:formatCode>0</c:formatCode>
                <c:ptCount val="10"/>
                <c:pt idx="0">
                  <c:v>373</c:v>
                </c:pt>
                <c:pt idx="1">
                  <c:v>382.42857099999998</c:v>
                </c:pt>
                <c:pt idx="2">
                  <c:v>431.83333299999998</c:v>
                </c:pt>
                <c:pt idx="3">
                  <c:v>477.26666699999998</c:v>
                </c:pt>
                <c:pt idx="4">
                  <c:v>506.9</c:v>
                </c:pt>
                <c:pt idx="5">
                  <c:v>519.55555600000002</c:v>
                </c:pt>
                <c:pt idx="6">
                  <c:v>595.25</c:v>
                </c:pt>
                <c:pt idx="7">
                  <c:v>597.27272700000003</c:v>
                </c:pt>
                <c:pt idx="8">
                  <c:v>607.33333300000004</c:v>
                </c:pt>
                <c:pt idx="9">
                  <c:v>607.83333300000004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F-40AE-ADB5-5BD9A7F7A4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618127"/>
        <c:axId val="763619087"/>
      </c:barChart>
      <c:catAx>
        <c:axId val="76361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9087"/>
        <c:crosses val="autoZero"/>
        <c:auto val="1"/>
        <c:lblAlgn val="ctr"/>
        <c:lblOffset val="100"/>
        <c:noMultiLvlLbl val="0"/>
      </c:catAx>
      <c:valAx>
        <c:axId val="76361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suppliers by On-Time-Delivery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On-Time Performance_20'!$H$1</c:f>
              <c:strCache>
                <c:ptCount val="1"/>
                <c:pt idx="0">
                  <c:v>ON_TIME_PERCENT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'Supplier On-Time Performance_20'!$G$2:$G$11</c:f>
              <c:strCache>
                <c:ptCount val="10"/>
                <c:pt idx="0">
                  <c:v>Supplier_34</c:v>
                </c:pt>
                <c:pt idx="1">
                  <c:v>Supplier_33</c:v>
                </c:pt>
                <c:pt idx="2">
                  <c:v>Supplier_45</c:v>
                </c:pt>
                <c:pt idx="3">
                  <c:v>Supplier_3</c:v>
                </c:pt>
                <c:pt idx="4">
                  <c:v>Supplier_50</c:v>
                </c:pt>
                <c:pt idx="5">
                  <c:v>Supplier_16</c:v>
                </c:pt>
                <c:pt idx="6">
                  <c:v>Supplier_48</c:v>
                </c:pt>
                <c:pt idx="7">
                  <c:v>Supplier_7</c:v>
                </c:pt>
                <c:pt idx="8">
                  <c:v>Supplier_6</c:v>
                </c:pt>
                <c:pt idx="9">
                  <c:v>Supplier_26</c:v>
                </c:pt>
              </c:strCache>
            </c:strRef>
          </c:cat>
          <c:val>
            <c:numRef>
              <c:f>'Supplier On-Time Performance_20'!$H$2:$H$11</c:f>
              <c:numCache>
                <c:formatCode>General</c:formatCode>
                <c:ptCount val="10"/>
                <c:pt idx="0">
                  <c:v>46.67</c:v>
                </c:pt>
                <c:pt idx="1">
                  <c:v>40</c:v>
                </c:pt>
                <c:pt idx="2">
                  <c:v>39.130000000000003</c:v>
                </c:pt>
                <c:pt idx="3">
                  <c:v>37.93</c:v>
                </c:pt>
                <c:pt idx="4">
                  <c:v>37.5</c:v>
                </c:pt>
                <c:pt idx="5">
                  <c:v>37.04</c:v>
                </c:pt>
                <c:pt idx="6">
                  <c:v>35.479999999999997</c:v>
                </c:pt>
                <c:pt idx="7">
                  <c:v>34.479999999999997</c:v>
                </c:pt>
                <c:pt idx="8">
                  <c:v>32.56</c:v>
                </c:pt>
                <c:pt idx="9">
                  <c:v>32.26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0-44BA-8001-BD078DC2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126815"/>
        <c:axId val="1227141215"/>
      </c:barChart>
      <c:catAx>
        <c:axId val="122712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41215"/>
        <c:crosses val="autoZero"/>
        <c:auto val="1"/>
        <c:lblAlgn val="ctr"/>
        <c:lblOffset val="100"/>
        <c:noMultiLvlLbl val="0"/>
      </c:catAx>
      <c:valAx>
        <c:axId val="12271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2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Suppliers by Average Delivery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86682440139247E-2"/>
          <c:y val="0.20135722041259502"/>
          <c:w val="0.92935074351570346"/>
          <c:h val="0.52250934024126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Suppliers '!$B$1</c:f>
              <c:strCache>
                <c:ptCount val="1"/>
                <c:pt idx="0">
                  <c:v>AvgDelayDays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Suppliers '!$A$2:$A$11</c:f>
              <c:strCache>
                <c:ptCount val="10"/>
                <c:pt idx="0">
                  <c:v>Supplier_39</c:v>
                </c:pt>
                <c:pt idx="1">
                  <c:v>Supplier_2</c:v>
                </c:pt>
                <c:pt idx="2">
                  <c:v>Supplier_12</c:v>
                </c:pt>
                <c:pt idx="3">
                  <c:v>Supplier_47</c:v>
                </c:pt>
                <c:pt idx="4">
                  <c:v>Supplier_24</c:v>
                </c:pt>
                <c:pt idx="5">
                  <c:v>Supplier_40</c:v>
                </c:pt>
                <c:pt idx="6">
                  <c:v>Supplier_11</c:v>
                </c:pt>
                <c:pt idx="7">
                  <c:v>Supplier_37</c:v>
                </c:pt>
                <c:pt idx="8">
                  <c:v>Supplier_19</c:v>
                </c:pt>
                <c:pt idx="9">
                  <c:v>Supplier_29</c:v>
                </c:pt>
              </c:strCache>
            </c:strRef>
          </c:cat>
          <c:val>
            <c:numRef>
              <c:f>'Top 10 Suppliers '!$B$2:$B$11</c:f>
              <c:numCache>
                <c:formatCode>General</c:formatCode>
                <c:ptCount val="10"/>
                <c:pt idx="0">
                  <c:v>5.3</c:v>
                </c:pt>
                <c:pt idx="1">
                  <c:v>4.9583329999999997</c:v>
                </c:pt>
                <c:pt idx="2">
                  <c:v>4.9375</c:v>
                </c:pt>
                <c:pt idx="3">
                  <c:v>4.7096770000000001</c:v>
                </c:pt>
                <c:pt idx="4">
                  <c:v>4.7</c:v>
                </c:pt>
                <c:pt idx="5">
                  <c:v>4.6774190000000004</c:v>
                </c:pt>
                <c:pt idx="6">
                  <c:v>4.65625</c:v>
                </c:pt>
                <c:pt idx="7">
                  <c:v>4.6451609999999999</c:v>
                </c:pt>
                <c:pt idx="8">
                  <c:v>4.5142860000000002</c:v>
                </c:pt>
                <c:pt idx="9">
                  <c:v>4.4666670000000002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A-4F1C-9D38-40D44AD6D0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3586447"/>
        <c:axId val="763608047"/>
      </c:barChart>
      <c:catAx>
        <c:axId val="76358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8047"/>
        <c:crosses val="autoZero"/>
        <c:auto val="1"/>
        <c:lblAlgn val="ctr"/>
        <c:lblOffset val="100"/>
        <c:noMultiLvlLbl val="0"/>
      </c:catAx>
      <c:valAx>
        <c:axId val="7636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8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Products with Lowest Inventory Buffer</a:t>
            </a:r>
          </a:p>
        </c:rich>
      </c:tx>
      <c:layout>
        <c:manualLayout>
          <c:xMode val="edge"/>
          <c:yMode val="edge"/>
          <c:x val="0.15336650627004958"/>
          <c:y val="4.32575185067810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64968437019025"/>
          <c:y val="0.15741341991341995"/>
          <c:w val="0.70323511260809113"/>
          <c:h val="0.717054828373726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'Inventory Stock Buffer Analysis'!$N$1</c:f>
              <c:strCache>
                <c:ptCount val="1"/>
                <c:pt idx="0">
                  <c:v>STOCKBUFFER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Stock Buffer Analysis'!$M$2:$M$11</c:f>
              <c:strCache>
                <c:ptCount val="10"/>
                <c:pt idx="0">
                  <c:v>Fasteners 85</c:v>
                </c:pt>
                <c:pt idx="1">
                  <c:v>Bearings 50</c:v>
                </c:pt>
                <c:pt idx="2">
                  <c:v>Hydraulic Parts 19</c:v>
                </c:pt>
                <c:pt idx="3">
                  <c:v>Fasteners 12</c:v>
                </c:pt>
                <c:pt idx="4">
                  <c:v>Filters 14</c:v>
                </c:pt>
                <c:pt idx="5">
                  <c:v>Bearings 15</c:v>
                </c:pt>
                <c:pt idx="6">
                  <c:v>Fasteners 73</c:v>
                </c:pt>
                <c:pt idx="7">
                  <c:v>Electrical Components 88</c:v>
                </c:pt>
                <c:pt idx="8">
                  <c:v>Gaskets 66</c:v>
                </c:pt>
                <c:pt idx="9">
                  <c:v>Packaging 42</c:v>
                </c:pt>
              </c:strCache>
            </c:strRef>
          </c:cat>
          <c:val>
            <c:numRef>
              <c:f>'Inventory Stock Buffer Analysis'!$N$2:$N$11</c:f>
              <c:numCache>
                <c:formatCode>0</c:formatCode>
                <c:ptCount val="10"/>
                <c:pt idx="0">
                  <c:v>373</c:v>
                </c:pt>
                <c:pt idx="1">
                  <c:v>382.42857099999998</c:v>
                </c:pt>
                <c:pt idx="2">
                  <c:v>431.83333299999998</c:v>
                </c:pt>
                <c:pt idx="3">
                  <c:v>477.26666699999998</c:v>
                </c:pt>
                <c:pt idx="4">
                  <c:v>506.9</c:v>
                </c:pt>
                <c:pt idx="5">
                  <c:v>519.55555600000002</c:v>
                </c:pt>
                <c:pt idx="6">
                  <c:v>595.25</c:v>
                </c:pt>
                <c:pt idx="7">
                  <c:v>597.27272700000003</c:v>
                </c:pt>
                <c:pt idx="8">
                  <c:v>607.33333300000004</c:v>
                </c:pt>
                <c:pt idx="9">
                  <c:v>607.83333300000004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A-4109-859D-4E4465C5BF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618127"/>
        <c:axId val="763619087"/>
      </c:barChart>
      <c:catAx>
        <c:axId val="76361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9087"/>
        <c:crosses val="autoZero"/>
        <c:auto val="1"/>
        <c:lblAlgn val="ctr"/>
        <c:lblOffset val="100"/>
        <c:noMultiLvlLbl val="0"/>
      </c:catAx>
      <c:valAx>
        <c:axId val="76361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most demanded products</a:t>
            </a:r>
            <a:endParaRPr lang="en-US" b="1"/>
          </a:p>
        </c:rich>
      </c:tx>
      <c:layout>
        <c:manualLayout>
          <c:xMode val="edge"/>
          <c:yMode val="edge"/>
          <c:x val="0.27780731468395509"/>
          <c:y val="3.7921880925293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13978270745003"/>
          <c:y val="0.1602669418231118"/>
          <c:w val="0.8478089352412681"/>
          <c:h val="0.522700740651693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'Demand vs Supply Analysis_2026-'!$K$1</c:f>
              <c:strCache>
                <c:ptCount val="1"/>
                <c:pt idx="0">
                  <c:v>TOTAL_DEMAND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vs Supply Analysis_2026-'!$J$2:$J$11</c:f>
              <c:strCache>
                <c:ptCount val="10"/>
                <c:pt idx="0">
                  <c:v>Electrical Components 35</c:v>
                </c:pt>
                <c:pt idx="1">
                  <c:v>Gaskets 39</c:v>
                </c:pt>
                <c:pt idx="2">
                  <c:v>Engine Parts 77</c:v>
                </c:pt>
                <c:pt idx="3">
                  <c:v>Hydraulic Parts 99</c:v>
                </c:pt>
                <c:pt idx="4">
                  <c:v>Hydraulic Parts 41</c:v>
                </c:pt>
                <c:pt idx="5">
                  <c:v>Fasteners 96</c:v>
                </c:pt>
                <c:pt idx="6">
                  <c:v>Packaging 83</c:v>
                </c:pt>
                <c:pt idx="7">
                  <c:v>Hydraulic Parts 19</c:v>
                </c:pt>
                <c:pt idx="8">
                  <c:v>Fasteners 73</c:v>
                </c:pt>
                <c:pt idx="9">
                  <c:v>Packaging 48</c:v>
                </c:pt>
              </c:strCache>
            </c:strRef>
          </c:cat>
          <c:val>
            <c:numRef>
              <c:f>'Demand vs Supply Analysis_2026-'!$K$2:$K$11</c:f>
              <c:numCache>
                <c:formatCode>General</c:formatCode>
                <c:ptCount val="10"/>
                <c:pt idx="0">
                  <c:v>216000</c:v>
                </c:pt>
                <c:pt idx="1">
                  <c:v>198720</c:v>
                </c:pt>
                <c:pt idx="2">
                  <c:v>195930</c:v>
                </c:pt>
                <c:pt idx="3">
                  <c:v>194701</c:v>
                </c:pt>
                <c:pt idx="4">
                  <c:v>193851</c:v>
                </c:pt>
                <c:pt idx="5">
                  <c:v>182588</c:v>
                </c:pt>
                <c:pt idx="6">
                  <c:v>180489</c:v>
                </c:pt>
                <c:pt idx="7">
                  <c:v>179520</c:v>
                </c:pt>
                <c:pt idx="8">
                  <c:v>178448</c:v>
                </c:pt>
                <c:pt idx="9">
                  <c:v>170028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CE5-98FD-B8E1946C90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7100415"/>
        <c:axId val="1227087455"/>
      </c:barChart>
      <c:catAx>
        <c:axId val="122710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87455"/>
        <c:crosses val="autoZero"/>
        <c:auto val="1"/>
        <c:lblAlgn val="ctr"/>
        <c:lblOffset val="100"/>
        <c:noMultiLvlLbl val="0"/>
      </c:catAx>
      <c:valAx>
        <c:axId val="12270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 with Inventory Deficit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5603674540683"/>
          <c:y val="0.1894546319293981"/>
          <c:w val="0.86987729658792656"/>
          <c:h val="0.67109734185911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Suppliers '!$P$9</c:f>
              <c:strCache>
                <c:ptCount val="1"/>
                <c:pt idx="0">
                  <c:v> Deficit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Suppliers '!$O$10:$O$11</c:f>
              <c:strCache>
                <c:ptCount val="2"/>
                <c:pt idx="0">
                  <c:v>P019    </c:v>
                </c:pt>
                <c:pt idx="1">
                  <c:v>P085</c:v>
                </c:pt>
              </c:strCache>
            </c:strRef>
          </c:cat>
          <c:val>
            <c:numRef>
              <c:f>'Top 10 Suppliers '!$P$10:$P$11</c:f>
              <c:numCache>
                <c:formatCode>General</c:formatCode>
                <c:ptCount val="2"/>
                <c:pt idx="0">
                  <c:v>-4670</c:v>
                </c:pt>
                <c:pt idx="1">
                  <c:v>-3078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8-4F46-94B7-9FAA43861D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3606607"/>
        <c:axId val="763607087"/>
      </c:barChart>
      <c:catAx>
        <c:axId val="76360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7087"/>
        <c:crosses val="autoZero"/>
        <c:auto val="1"/>
        <c:lblAlgn val="ctr"/>
        <c:lblOffset val="100"/>
        <c:noMultiLvlLbl val="0"/>
      </c:catAx>
      <c:valAx>
        <c:axId val="7636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0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10 suppliers by On-Time-Delivery %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8094488188976375E-2"/>
          <c:y val="0.20201525054466232"/>
          <c:w val="0.88518068241469816"/>
          <c:h val="0.56574417168442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On-Time Performance_20'!$H$1</c:f>
              <c:strCache>
                <c:ptCount val="1"/>
                <c:pt idx="0">
                  <c:v>ON_TIME_PERCENT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On-Time Performance_20'!$G$2:$G$11</c:f>
              <c:strCache>
                <c:ptCount val="10"/>
                <c:pt idx="0">
                  <c:v>Supplier_34</c:v>
                </c:pt>
                <c:pt idx="1">
                  <c:v>Supplier_33</c:v>
                </c:pt>
                <c:pt idx="2">
                  <c:v>Supplier_45</c:v>
                </c:pt>
                <c:pt idx="3">
                  <c:v>Supplier_3</c:v>
                </c:pt>
                <c:pt idx="4">
                  <c:v>Supplier_50</c:v>
                </c:pt>
                <c:pt idx="5">
                  <c:v>Supplier_16</c:v>
                </c:pt>
                <c:pt idx="6">
                  <c:v>Supplier_48</c:v>
                </c:pt>
                <c:pt idx="7">
                  <c:v>Supplier_7</c:v>
                </c:pt>
                <c:pt idx="8">
                  <c:v>Supplier_6</c:v>
                </c:pt>
                <c:pt idx="9">
                  <c:v>Supplier_26</c:v>
                </c:pt>
              </c:strCache>
            </c:strRef>
          </c:cat>
          <c:val>
            <c:numRef>
              <c:f>'Supplier On-Time Performance_20'!$H$2:$H$11</c:f>
              <c:numCache>
                <c:formatCode>General</c:formatCode>
                <c:ptCount val="10"/>
                <c:pt idx="0">
                  <c:v>46.67</c:v>
                </c:pt>
                <c:pt idx="1">
                  <c:v>40</c:v>
                </c:pt>
                <c:pt idx="2">
                  <c:v>39.130000000000003</c:v>
                </c:pt>
                <c:pt idx="3">
                  <c:v>37.93</c:v>
                </c:pt>
                <c:pt idx="4">
                  <c:v>37.5</c:v>
                </c:pt>
                <c:pt idx="5">
                  <c:v>37.04</c:v>
                </c:pt>
                <c:pt idx="6">
                  <c:v>35.479999999999997</c:v>
                </c:pt>
                <c:pt idx="7">
                  <c:v>34.479999999999997</c:v>
                </c:pt>
                <c:pt idx="8">
                  <c:v>32.56</c:v>
                </c:pt>
                <c:pt idx="9">
                  <c:v>32.26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5-4310-B933-0ADA9C1CC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7126815"/>
        <c:axId val="1227141215"/>
      </c:barChart>
      <c:catAx>
        <c:axId val="122712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41215"/>
        <c:crosses val="autoZero"/>
        <c:auto val="1"/>
        <c:lblAlgn val="ctr"/>
        <c:lblOffset val="100"/>
        <c:noMultiLvlLbl val="0"/>
      </c:catAx>
      <c:valAx>
        <c:axId val="12271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2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</xdr:row>
      <xdr:rowOff>95250</xdr:rowOff>
    </xdr:from>
    <xdr:to>
      <xdr:col>10</xdr:col>
      <xdr:colOff>464820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6930F-71BF-03FB-E2E5-77F064394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586740</xdr:colOff>
      <xdr:row>11</xdr:row>
      <xdr:rowOff>64770</xdr:rowOff>
    </xdr:from>
    <xdr:to>
      <xdr:col>18</xdr:col>
      <xdr:colOff>411480</xdr:colOff>
      <xdr:row>26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77869-1442-45F9-9B71-009CC2860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281940</xdr:colOff>
      <xdr:row>32</xdr:row>
      <xdr:rowOff>38100</xdr:rowOff>
    </xdr:from>
    <xdr:to>
      <xdr:col>16</xdr:col>
      <xdr:colOff>68580</xdr:colOff>
      <xdr:row>35</xdr:row>
      <xdr:rowOff>83820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DCD3673-0E73-AB12-FB53-0DDF22034DE3}"/>
            </a:ext>
          </a:extLst>
        </xdr:cNvPr>
        <xdr:cNvSpPr txBox="1"/>
      </xdr:nvSpPr>
      <xdr:spPr>
        <a:xfrm>
          <a:off x="6774180" y="5890260"/>
          <a:ext cx="4533900" cy="5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P019 and P085 have inventory deficits, indicating demand exceeds available inventory. These products require immediate replenishment planning to reduce stockout risk.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8</xdr:row>
      <xdr:rowOff>19050</xdr:rowOff>
    </xdr:from>
    <xdr:to>
      <xdr:col>13</xdr:col>
      <xdr:colOff>327660</xdr:colOff>
      <xdr:row>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CDC35-62E9-58D7-7428-3CA8C3660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2</xdr:row>
      <xdr:rowOff>34290</xdr:rowOff>
    </xdr:from>
    <xdr:to>
      <xdr:col>11</xdr:col>
      <xdr:colOff>358140</xdr:colOff>
      <xdr:row>17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89CBD-358F-5C53-99C5-2245070F2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17</xdr:row>
      <xdr:rowOff>76200</xdr:rowOff>
    </xdr:from>
    <xdr:to>
      <xdr:col>11</xdr:col>
      <xdr:colOff>365760</xdr:colOff>
      <xdr:row>20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79B745-F585-6272-3733-B469990A249C}"/>
            </a:ext>
          </a:extLst>
        </xdr:cNvPr>
        <xdr:cNvSpPr txBox="1"/>
      </xdr:nvSpPr>
      <xdr:spPr>
        <a:xfrm>
          <a:off x="5334000" y="3185160"/>
          <a:ext cx="4434840" cy="480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P085, P050, and P019 have the lowest inventory buffers, making them the highest priority for inventory monitoring and replenishment planning.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2</xdr:row>
      <xdr:rowOff>11430</xdr:rowOff>
    </xdr:from>
    <xdr:to>
      <xdr:col>15</xdr:col>
      <xdr:colOff>396240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19660-AE04-2EB7-DCF4-130EEBC40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3</xdr:col>
      <xdr:colOff>838200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F3176-3367-4FFE-AA40-7BC6240E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14</xdr:row>
      <xdr:rowOff>45720</xdr:rowOff>
    </xdr:from>
    <xdr:to>
      <xdr:col>3</xdr:col>
      <xdr:colOff>381000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114A9-8D08-4196-8643-2B574A09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358140</xdr:colOff>
      <xdr:row>14</xdr:row>
      <xdr:rowOff>68580</xdr:rowOff>
    </xdr:from>
    <xdr:to>
      <xdr:col>6</xdr:col>
      <xdr:colOff>1737360</xdr:colOff>
      <xdr:row>26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8EF97D-E466-41FF-B1C8-97AD379D3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1752600</xdr:colOff>
      <xdr:row>2</xdr:row>
      <xdr:rowOff>22860</xdr:rowOff>
    </xdr:from>
    <xdr:to>
      <xdr:col>11</xdr:col>
      <xdr:colOff>396240</xdr:colOff>
      <xdr:row>13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A8FF8B-3FA7-4171-8309-8AD803B3C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792480</xdr:colOff>
      <xdr:row>2</xdr:row>
      <xdr:rowOff>0</xdr:rowOff>
    </xdr:from>
    <xdr:to>
      <xdr:col>6</xdr:col>
      <xdr:colOff>1676400</xdr:colOff>
      <xdr:row>14</xdr:row>
      <xdr:rowOff>137160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ED2A62-C53C-4109-AAF8-8C3B30EAB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11</xdr:col>
      <xdr:colOff>480060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60195C9-9391-5185-4527-7E024A239C5E}"/>
            </a:ext>
          </a:extLst>
        </xdr:cNvPr>
        <xdr:cNvSpPr txBox="1"/>
      </xdr:nvSpPr>
      <xdr:spPr>
        <a:xfrm>
          <a:off x="10782300" y="0"/>
          <a:ext cx="3459480" cy="6705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Supply_chain</a:t>
          </a:r>
          <a:r>
            <a:rPr lang="en-IN" sz="1600" b="1" baseline="0"/>
            <a:t> Performance </a:t>
          </a:r>
        </a:p>
        <a:p>
          <a:pPr algn="ctr"/>
          <a:r>
            <a:rPr lang="en-IN" sz="1600" b="1" baseline="0"/>
            <a:t>Dashboard</a:t>
          </a:r>
          <a:endParaRPr lang="en-IN" sz="1600" b="1"/>
        </a:p>
      </xdr:txBody>
    </xdr:sp>
    <xdr:clientData/>
  </xdr:twoCellAnchor>
  <xdr:twoCellAnchor>
    <xdr:from>
      <xdr:col>6</xdr:col>
      <xdr:colOff>1722120</xdr:colOff>
      <xdr:row>13</xdr:row>
      <xdr:rowOff>167640</xdr:rowOff>
    </xdr:from>
    <xdr:to>
      <xdr:col>11</xdr:col>
      <xdr:colOff>297180</xdr:colOff>
      <xdr:row>27</xdr:row>
      <xdr:rowOff>22860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1623C0E-5F0C-A6D9-4E1C-224C27DFB6E6}"/>
            </a:ext>
          </a:extLst>
        </xdr:cNvPr>
        <xdr:cNvSpPr txBox="1"/>
      </xdr:nvSpPr>
      <xdr:spPr>
        <a:xfrm>
          <a:off x="9951720" y="2849880"/>
          <a:ext cx="4107180" cy="2415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KEY INSIGHTS</a:t>
          </a:r>
        </a:p>
        <a:p>
          <a:r>
            <a:rPr lang="en-IN" sz="1100"/>
            <a:t>• </a:t>
          </a:r>
          <a:r>
            <a:rPr lang="en-IN" sz="1100" b="1" i="1"/>
            <a:t>Supplier_39 </a:t>
          </a:r>
          <a:r>
            <a:rPr lang="en-IN" sz="1100" b="0" i="1"/>
            <a:t>recorded the highest average delivery delay </a:t>
          </a:r>
          <a:r>
            <a:rPr lang="en-IN" sz="1100" b="1" i="1"/>
            <a:t>(5.3 days</a:t>
          </a:r>
          <a:r>
            <a:rPr lang="en-IN" sz="1100" b="0" i="1"/>
            <a:t>), indicating supplier performance concerns.</a:t>
          </a:r>
        </a:p>
        <a:p>
          <a:r>
            <a:rPr lang="en-IN" sz="1100" b="0" i="1"/>
            <a:t>• Overall </a:t>
          </a:r>
          <a:r>
            <a:rPr lang="en-IN" sz="1100" b="1" i="1"/>
            <a:t>On-Time Delivery performance was 25.8%, </a:t>
          </a:r>
          <a:r>
            <a:rPr lang="en-IN" sz="1100" b="0" i="1"/>
            <a:t>highlighting opportunities to improve delivery reliability.</a:t>
          </a:r>
        </a:p>
        <a:p>
          <a:r>
            <a:rPr lang="en-IN" sz="1100" b="0" i="1"/>
            <a:t>• Hydraulic </a:t>
          </a:r>
          <a:r>
            <a:rPr lang="en-IN" sz="1100" b="1" i="1"/>
            <a:t>Parts 19 (P019)</a:t>
          </a:r>
          <a:r>
            <a:rPr lang="en-IN" sz="1100" b="0" i="1"/>
            <a:t> and </a:t>
          </a:r>
          <a:r>
            <a:rPr lang="en-IN" sz="1100" b="1" i="1"/>
            <a:t>Fasteners 85 (P085</a:t>
          </a:r>
          <a:r>
            <a:rPr lang="en-IN" sz="1100" b="0" i="1"/>
            <a:t>) showed inventory deficits, creating potential stockout risks.</a:t>
          </a:r>
        </a:p>
        <a:p>
          <a:r>
            <a:rPr lang="en-IN" sz="1100" b="0" i="1"/>
            <a:t>• </a:t>
          </a:r>
          <a:r>
            <a:rPr lang="en-IN" sz="1100" b="1" i="1"/>
            <a:t>Fasteners 85 (P085</a:t>
          </a:r>
          <a:r>
            <a:rPr lang="en-IN" sz="1100" b="0" i="1"/>
            <a:t>) had the </a:t>
          </a:r>
          <a:r>
            <a:rPr lang="en-IN" sz="1100" b="1" i="1"/>
            <a:t>lowest inventory buffer</a:t>
          </a:r>
          <a:r>
            <a:rPr lang="en-IN" sz="1100" b="0" i="1"/>
            <a:t>, requiring close inventory monitoring and replenishment planning.</a:t>
          </a:r>
        </a:p>
        <a:p>
          <a:r>
            <a:rPr lang="en-IN" sz="1100" b="0" i="1"/>
            <a:t>• </a:t>
          </a:r>
          <a:r>
            <a:rPr lang="en-IN" sz="1100" b="1" i="1"/>
            <a:t>Electrical Components 35 (P035</a:t>
          </a:r>
          <a:r>
            <a:rPr lang="en-IN" sz="1100" b="0" i="1"/>
            <a:t>) was the highest-demand product with total demand of </a:t>
          </a:r>
          <a:r>
            <a:rPr lang="en-IN" sz="1100" b="1" i="1"/>
            <a:t>216,000 units.</a:t>
          </a:r>
        </a:p>
        <a:p>
          <a:r>
            <a:rPr lang="en-IN" sz="1100" b="0" i="1"/>
            <a:t>• </a:t>
          </a:r>
          <a:r>
            <a:rPr lang="en-IN" sz="1100" b="1" i="1"/>
            <a:t>Hydraulic Parts 19 (P019) </a:t>
          </a:r>
          <a:r>
            <a:rPr lang="en-IN" sz="1100" b="0" i="1"/>
            <a:t>combined high demand with a negative stock balance, making it a critical product for inventory planning.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275EB71-B763-4643-A522-2A91536D7805}" autoFormatId="16" applyNumberFormats="0" applyBorderFormats="0" applyFontFormats="0" applyPatternFormats="0" applyAlignmentFormats="0" applyWidthHeightFormats="0">
  <queryTableRefresh nextId="5">
    <queryTableFields count="4">
      <queryTableField id="1" name="SUPPLIERID" tableColumnId="1"/>
      <queryTableField id="2" name="SUPPLIERNAME" tableColumnId="2"/>
      <queryTableField id="3" name="TOTAL_ORDERS" tableColumnId="3"/>
      <queryTableField id="4" name="AVG_DELAY_DAY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37919E1-F254-4312-B30F-0EC29FD3E8D5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TOTAL_DEMAND" tableColumnId="3"/>
      <queryTableField id="4" name="TOTAL_STOCK" tableColumnId="4"/>
      <queryTableField id="5" name="STOCK_BALAN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7129448-4C41-4A05-BB73-754465B03EB7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REORDERPOINT" tableColumnId="3"/>
      <queryTableField id="4" name="CURRENTSTOCK" tableColumnId="4"/>
      <queryTableField id="5" name="STOCKBUFFER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CAA02F3-61D5-4534-B6CB-409E27E840C4}" autoFormatId="16" applyNumberFormats="0" applyBorderFormats="0" applyFontFormats="0" applyPatternFormats="0" applyAlignmentFormats="0" applyWidthHeightFormats="0">
  <queryTableRefresh nextId="5">
    <queryTableFields count="4">
      <queryTableField id="1" name="SUPPLIERID" tableColumnId="1"/>
      <queryTableField id="2" name="SUPPLIERNAME" tableColumnId="2"/>
      <queryTableField id="3" name="TOTAL_ORDERS" tableColumnId="3"/>
      <queryTableField id="4" name="ON_TIME_PERC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7F98A-4A01-4E80-A193-8ACB185D947A}" name="Supplier_Delay_Analysis_2026_06_19_2343" displayName="Supplier_Delay_Analysis_2026_06_19_2343" ref="A1:D51" tableType="queryTable" totalsRowShown="0">
  <autoFilter ref="A1:D51" xr:uid="{40B7F98A-4A01-4E80-A193-8ACB185D947A}"/>
  <sortState xmlns:xlrd2="http://schemas.microsoft.com/office/spreadsheetml/2017/richdata2" ref="A2:D51">
    <sortCondition descending="1" ref="D1:D51"/>
  </sortState>
  <tableColumns count="4">
    <tableColumn id="1" xr3:uid="{7C31BF5E-98AF-4C0D-B5EA-6043354E91DD}" uniqueName="1" name="SUPPLIERID" queryTableFieldId="1" dataDxfId="24"/>
    <tableColumn id="2" xr3:uid="{BF86BA31-72B2-4839-B35C-014734837238}" uniqueName="2" name="SUPPLIERNAME" queryTableFieldId="2" dataDxfId="23"/>
    <tableColumn id="3" xr3:uid="{1E7A888B-7224-4569-B689-C7590ACA062E}" uniqueName="3" name="TOTAL_ORDERS" queryTableFieldId="3"/>
    <tableColumn id="4" xr3:uid="{52F251C7-1AF0-42A9-BF41-6000CF2A9BD8}" uniqueName="4" name="AVG_DELAY_DAY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14D84-85D3-4657-988F-75A10B8C4C06}" name="Demand_vs_Supply_Analysis_2026_06_19_2327" displayName="Demand_vs_Supply_Analysis_2026_06_19_2327" ref="A1:E101" tableType="queryTable" totalsRowShown="0">
  <autoFilter ref="A1:E101" xr:uid="{FFE14D84-85D3-4657-988F-75A10B8C4C06}"/>
  <sortState xmlns:xlrd2="http://schemas.microsoft.com/office/spreadsheetml/2017/richdata2" ref="A2:E101">
    <sortCondition descending="1" ref="C1:C101"/>
  </sortState>
  <tableColumns count="5">
    <tableColumn id="1" xr3:uid="{688683D0-B67F-45BC-A2ED-97E5D7070A11}" uniqueName="1" name="PRODUCTID" queryTableFieldId="1" dataDxfId="22"/>
    <tableColumn id="2" xr3:uid="{4EDF345E-9834-4EEA-8BF8-E852BA9F77D1}" uniqueName="2" name="PRODUCTNAME" queryTableFieldId="2" dataDxfId="21"/>
    <tableColumn id="3" xr3:uid="{647E62F9-2EEA-4B3A-A439-0C440E44C5EF}" uniqueName="3" name="TOTAL_DEMAND" queryTableFieldId="3"/>
    <tableColumn id="4" xr3:uid="{380FDF35-6B0A-4C75-ACA8-3CB97F1791C7}" uniqueName="4" name="TOTAL_STOCK" queryTableFieldId="4"/>
    <tableColumn id="5" xr3:uid="{459A71D6-8923-401C-A3CF-0808D5E5325E}" uniqueName="5" name="STOCK_BALANC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2AFA10-8A45-4B02-AE27-FBCD3EF91745}" name="Inventory_Stock_Buffer_Analysis_2026_06_19_2339" displayName="Inventory_Stock_Buffer_Analysis_2026_06_19_2339" ref="A1:E101" tableType="queryTable" totalsRowShown="0">
  <autoFilter ref="A1:E101" xr:uid="{2C2AFA10-8A45-4B02-AE27-FBCD3EF91745}"/>
  <sortState xmlns:xlrd2="http://schemas.microsoft.com/office/spreadsheetml/2017/richdata2" ref="A2:E101">
    <sortCondition ref="E1:E101"/>
  </sortState>
  <tableColumns count="5">
    <tableColumn id="1" xr3:uid="{53F15A71-156D-4370-8B4B-581F83B74450}" uniqueName="1" name="PRODUCTID" queryTableFieldId="1" dataDxfId="20"/>
    <tableColumn id="2" xr3:uid="{90D44740-DC73-4F96-A59A-B02199B60EAA}" uniqueName="2" name="PRODUCTNAME" queryTableFieldId="2" dataDxfId="19"/>
    <tableColumn id="3" xr3:uid="{1285D715-4DF2-4407-9DBA-8AA5A45E6EF0}" uniqueName="3" name="REORDERPOINT" queryTableFieldId="3"/>
    <tableColumn id="4" xr3:uid="{70D8676B-D436-4F9D-93F3-3A7301F9E52A}" uniqueName="4" name="CURRENTSTOCK" queryTableFieldId="4"/>
    <tableColumn id="5" xr3:uid="{72D568B8-87D8-4705-A8C6-21489C47A928}" uniqueName="5" name="STOCKBUFFER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AD800-1DDD-4D66-B4EA-4B946DB030BB}" name="Supplier_On_Time_Performance_2026_06_19_2328" displayName="Supplier_On_Time_Performance_2026_06_19_2328" ref="A1:D51" tableType="queryTable" totalsRowShown="0">
  <autoFilter ref="A1:D51" xr:uid="{298AD800-1DDD-4D66-B4EA-4B946DB030BB}"/>
  <sortState xmlns:xlrd2="http://schemas.microsoft.com/office/spreadsheetml/2017/richdata2" ref="A2:D51">
    <sortCondition descending="1" ref="D1:D51"/>
  </sortState>
  <tableColumns count="4">
    <tableColumn id="1" xr3:uid="{AB02725A-312B-499E-9CC5-1CFC298A2562}" uniqueName="1" name="SUPPLIERID" queryTableFieldId="1" dataDxfId="18"/>
    <tableColumn id="2" xr3:uid="{8947F444-5148-45BC-B270-DC92C3BFE631}" uniqueName="2" name="SUPPLIERNAME" queryTableFieldId="2" dataDxfId="17"/>
    <tableColumn id="3" xr3:uid="{3404108A-2796-47CD-A4B3-60C117D4D7EA}" uniqueName="3" name="TOTAL_ORDERS" queryTableFieldId="3"/>
    <tableColumn id="4" xr3:uid="{3F3219AA-FD6A-47E7-BB84-4F8A81BF6D7D}" uniqueName="4" name="ON_TIME_PERCEN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4CF8A4-5FBB-406C-AF39-018D355F4BE7}" name="Table5" displayName="Table5" ref="A1:B9" totalsRowShown="0" headerRowBorderDxfId="15" tableBorderDxfId="16" totalsRowBorderDxfId="14">
  <autoFilter ref="A1:B9" xr:uid="{264CF8A4-5FBB-406C-AF39-018D355F4BE7}"/>
  <tableColumns count="2">
    <tableColumn id="1" xr3:uid="{A75837B5-DA49-4400-BA80-008B3774091B}" name="KPI " dataDxfId="13"/>
    <tableColumn id="2" xr3:uid="{0BDCE3BB-136F-4AAE-BC43-7A20F0C5F694}" name="Value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532DAE-69F9-40CB-A9BF-0497FE1C16D7}" name="Table6" displayName="Table6" ref="E1:E6" totalsRowShown="0" headerRowDxfId="6" dataDxfId="7" headerRowBorderDxfId="10" tableBorderDxfId="11" totalsRowBorderDxfId="9">
  <autoFilter ref="E1:E6" xr:uid="{D6532DAE-69F9-40CB-A9BF-0497FE1C16D7}"/>
  <tableColumns count="1">
    <tableColumn id="1" xr3:uid="{C44FDE1B-2174-4D31-B155-03F799AA7CE6}" name="Recommendation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4573A-ECDC-4276-89AA-04D65B5F0E8F}" name="Table7" displayName="Table7" ref="A12:B16" totalsRowShown="0" headerRowDxfId="0" headerRowBorderDxfId="4" tableBorderDxfId="5" totalsRowBorderDxfId="3">
  <autoFilter ref="A12:B16" xr:uid="{C224573A-ECDC-4276-89AA-04D65B5F0E8F}"/>
  <tableColumns count="2">
    <tableColumn id="1" xr3:uid="{9125D2D0-59DA-47CC-9125-B57EEF2829F3}" name="Finding" dataDxfId="2"/>
    <tableColumn id="2" xr3:uid="{3FBF2099-F08F-4950-9F38-BB7782FBEAFD}" name="Impact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2147-551A-4E93-A29E-9EEE4B532F0A}">
  <dimension ref="A1:D51"/>
  <sheetViews>
    <sheetView workbookViewId="0">
      <selection activeCell="D11" sqref="D11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16.5546875" bestFit="1" customWidth="1"/>
    <col min="4" max="4" width="1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312</v>
      </c>
    </row>
    <row r="2" spans="1:4" x14ac:dyDescent="0.3">
      <c r="A2" t="s">
        <v>90</v>
      </c>
      <c r="B2" t="s">
        <v>91</v>
      </c>
      <c r="C2">
        <v>30</v>
      </c>
      <c r="D2">
        <v>5.3</v>
      </c>
    </row>
    <row r="3" spans="1:4" x14ac:dyDescent="0.3">
      <c r="A3" t="s">
        <v>88</v>
      </c>
      <c r="B3" t="s">
        <v>89</v>
      </c>
      <c r="C3">
        <v>24</v>
      </c>
      <c r="D3">
        <v>4.9583329999999997</v>
      </c>
    </row>
    <row r="4" spans="1:4" x14ac:dyDescent="0.3">
      <c r="A4" t="s">
        <v>100</v>
      </c>
      <c r="B4" t="s">
        <v>101</v>
      </c>
      <c r="C4">
        <v>32</v>
      </c>
      <c r="D4">
        <v>4.9375</v>
      </c>
    </row>
    <row r="5" spans="1:4" x14ac:dyDescent="0.3">
      <c r="A5" t="s">
        <v>92</v>
      </c>
      <c r="B5" t="s">
        <v>93</v>
      </c>
      <c r="C5">
        <v>31</v>
      </c>
      <c r="D5">
        <v>4.7096770000000001</v>
      </c>
    </row>
    <row r="6" spans="1:4" x14ac:dyDescent="0.3">
      <c r="A6" t="s">
        <v>46</v>
      </c>
      <c r="B6" t="s">
        <v>47</v>
      </c>
      <c r="C6">
        <v>30</v>
      </c>
      <c r="D6">
        <v>4.7</v>
      </c>
    </row>
    <row r="7" spans="1:4" x14ac:dyDescent="0.3">
      <c r="A7" t="s">
        <v>98</v>
      </c>
      <c r="B7" t="s">
        <v>99</v>
      </c>
      <c r="C7">
        <v>31</v>
      </c>
      <c r="D7">
        <v>4.6774190000000004</v>
      </c>
    </row>
    <row r="8" spans="1:4" x14ac:dyDescent="0.3">
      <c r="A8" t="s">
        <v>82</v>
      </c>
      <c r="B8" t="s">
        <v>83</v>
      </c>
      <c r="C8">
        <v>32</v>
      </c>
      <c r="D8">
        <v>4.65625</v>
      </c>
    </row>
    <row r="9" spans="1:4" x14ac:dyDescent="0.3">
      <c r="A9" t="s">
        <v>94</v>
      </c>
      <c r="B9" t="s">
        <v>95</v>
      </c>
      <c r="C9">
        <v>31</v>
      </c>
      <c r="D9">
        <v>4.6451609999999999</v>
      </c>
    </row>
    <row r="10" spans="1:4" x14ac:dyDescent="0.3">
      <c r="A10" t="s">
        <v>86</v>
      </c>
      <c r="B10" t="s">
        <v>87</v>
      </c>
      <c r="C10">
        <v>35</v>
      </c>
      <c r="D10">
        <v>4.5142860000000002</v>
      </c>
    </row>
    <row r="11" spans="1:4" x14ac:dyDescent="0.3">
      <c r="A11" t="s">
        <v>72</v>
      </c>
      <c r="B11" t="s">
        <v>73</v>
      </c>
      <c r="C11">
        <v>30</v>
      </c>
      <c r="D11">
        <v>4.4666670000000002</v>
      </c>
    </row>
    <row r="12" spans="1:4" x14ac:dyDescent="0.3">
      <c r="A12" t="s">
        <v>102</v>
      </c>
      <c r="B12" t="s">
        <v>103</v>
      </c>
      <c r="C12">
        <v>28</v>
      </c>
      <c r="D12">
        <v>4.4642860000000004</v>
      </c>
    </row>
    <row r="13" spans="1:4" x14ac:dyDescent="0.3">
      <c r="A13" t="s">
        <v>76</v>
      </c>
      <c r="B13" t="s">
        <v>77</v>
      </c>
      <c r="C13">
        <v>28</v>
      </c>
      <c r="D13">
        <v>4.4642860000000004</v>
      </c>
    </row>
    <row r="14" spans="1:4" x14ac:dyDescent="0.3">
      <c r="A14" t="s">
        <v>96</v>
      </c>
      <c r="B14" t="s">
        <v>97</v>
      </c>
      <c r="C14">
        <v>27</v>
      </c>
      <c r="D14">
        <v>4.4444439999999998</v>
      </c>
    </row>
    <row r="15" spans="1:4" x14ac:dyDescent="0.3">
      <c r="A15" t="s">
        <v>80</v>
      </c>
      <c r="B15" t="s">
        <v>81</v>
      </c>
      <c r="C15">
        <v>25</v>
      </c>
      <c r="D15">
        <v>4.4000000000000004</v>
      </c>
    </row>
    <row r="16" spans="1:4" x14ac:dyDescent="0.3">
      <c r="A16" t="s">
        <v>84</v>
      </c>
      <c r="B16" t="s">
        <v>85</v>
      </c>
      <c r="C16">
        <v>23</v>
      </c>
      <c r="D16">
        <v>4.3913039999999999</v>
      </c>
    </row>
    <row r="17" spans="1:4" x14ac:dyDescent="0.3">
      <c r="A17" t="s">
        <v>78</v>
      </c>
      <c r="B17" t="s">
        <v>79</v>
      </c>
      <c r="C17">
        <v>29</v>
      </c>
      <c r="D17">
        <v>4.3103449999999999</v>
      </c>
    </row>
    <row r="18" spans="1:4" x14ac:dyDescent="0.3">
      <c r="A18" t="s">
        <v>30</v>
      </c>
      <c r="B18" t="s">
        <v>31</v>
      </c>
      <c r="C18">
        <v>20</v>
      </c>
      <c r="D18">
        <v>4.25</v>
      </c>
    </row>
    <row r="19" spans="1:4" x14ac:dyDescent="0.3">
      <c r="A19" t="s">
        <v>64</v>
      </c>
      <c r="B19" t="s">
        <v>65</v>
      </c>
      <c r="C19">
        <v>29</v>
      </c>
      <c r="D19">
        <v>3.9310339999999999</v>
      </c>
    </row>
    <row r="20" spans="1:4" x14ac:dyDescent="0.3">
      <c r="A20" t="s">
        <v>26</v>
      </c>
      <c r="B20" t="s">
        <v>27</v>
      </c>
      <c r="C20">
        <v>32</v>
      </c>
      <c r="D20">
        <v>3.90625</v>
      </c>
    </row>
    <row r="21" spans="1:4" x14ac:dyDescent="0.3">
      <c r="A21" t="s">
        <v>52</v>
      </c>
      <c r="B21" t="s">
        <v>53</v>
      </c>
      <c r="C21">
        <v>31</v>
      </c>
      <c r="D21">
        <v>3.9032260000000001</v>
      </c>
    </row>
    <row r="22" spans="1:4" x14ac:dyDescent="0.3">
      <c r="A22" t="s">
        <v>14</v>
      </c>
      <c r="B22" t="s">
        <v>15</v>
      </c>
      <c r="C22">
        <v>27</v>
      </c>
      <c r="D22">
        <v>3.8888889999999998</v>
      </c>
    </row>
    <row r="23" spans="1:4" x14ac:dyDescent="0.3">
      <c r="A23" t="s">
        <v>62</v>
      </c>
      <c r="B23" t="s">
        <v>63</v>
      </c>
      <c r="C23">
        <v>33</v>
      </c>
      <c r="D23">
        <v>3.8787880000000001</v>
      </c>
    </row>
    <row r="24" spans="1:4" x14ac:dyDescent="0.3">
      <c r="A24" t="s">
        <v>56</v>
      </c>
      <c r="B24" t="s">
        <v>57</v>
      </c>
      <c r="C24">
        <v>32</v>
      </c>
      <c r="D24">
        <v>3.875</v>
      </c>
    </row>
    <row r="25" spans="1:4" x14ac:dyDescent="0.3">
      <c r="A25" t="s">
        <v>54</v>
      </c>
      <c r="B25" t="s">
        <v>55</v>
      </c>
      <c r="C25">
        <v>39</v>
      </c>
      <c r="D25">
        <v>3.820513</v>
      </c>
    </row>
    <row r="26" spans="1:4" x14ac:dyDescent="0.3">
      <c r="A26" t="s">
        <v>44</v>
      </c>
      <c r="B26" t="s">
        <v>45</v>
      </c>
      <c r="C26">
        <v>26</v>
      </c>
      <c r="D26">
        <v>3.8076919999999999</v>
      </c>
    </row>
    <row r="27" spans="1:4" x14ac:dyDescent="0.3">
      <c r="A27" t="s">
        <v>60</v>
      </c>
      <c r="B27" t="s">
        <v>61</v>
      </c>
      <c r="C27">
        <v>37</v>
      </c>
      <c r="D27">
        <v>3.7567569999999999</v>
      </c>
    </row>
    <row r="28" spans="1:4" x14ac:dyDescent="0.3">
      <c r="A28" t="s">
        <v>74</v>
      </c>
      <c r="B28" t="s">
        <v>75</v>
      </c>
      <c r="C28">
        <v>31</v>
      </c>
      <c r="D28">
        <v>3.7419349999999998</v>
      </c>
    </row>
    <row r="29" spans="1:4" x14ac:dyDescent="0.3">
      <c r="A29" t="s">
        <v>34</v>
      </c>
      <c r="B29" t="s">
        <v>35</v>
      </c>
      <c r="C29">
        <v>31</v>
      </c>
      <c r="D29">
        <v>3.7096770000000001</v>
      </c>
    </row>
    <row r="30" spans="1:4" x14ac:dyDescent="0.3">
      <c r="A30" t="s">
        <v>48</v>
      </c>
      <c r="B30" t="s">
        <v>49</v>
      </c>
      <c r="C30">
        <v>23</v>
      </c>
      <c r="D30">
        <v>3.6956519999999999</v>
      </c>
    </row>
    <row r="31" spans="1:4" x14ac:dyDescent="0.3">
      <c r="A31" t="s">
        <v>36</v>
      </c>
      <c r="B31" t="s">
        <v>37</v>
      </c>
      <c r="C31">
        <v>28</v>
      </c>
      <c r="D31">
        <v>3.6785709999999998</v>
      </c>
    </row>
    <row r="32" spans="1:4" x14ac:dyDescent="0.3">
      <c r="A32" t="s">
        <v>42</v>
      </c>
      <c r="B32" t="s">
        <v>43</v>
      </c>
      <c r="C32">
        <v>36</v>
      </c>
      <c r="D32">
        <v>3.6666669999999999</v>
      </c>
    </row>
    <row r="33" spans="1:4" x14ac:dyDescent="0.3">
      <c r="A33" t="s">
        <v>24</v>
      </c>
      <c r="B33" t="s">
        <v>25</v>
      </c>
      <c r="C33">
        <v>22</v>
      </c>
      <c r="D33">
        <v>3.6363639999999999</v>
      </c>
    </row>
    <row r="34" spans="1:4" x14ac:dyDescent="0.3">
      <c r="A34" t="s">
        <v>16</v>
      </c>
      <c r="B34" t="s">
        <v>17</v>
      </c>
      <c r="C34">
        <v>31</v>
      </c>
      <c r="D34">
        <v>3.6129030000000002</v>
      </c>
    </row>
    <row r="35" spans="1:4" x14ac:dyDescent="0.3">
      <c r="A35" t="s">
        <v>50</v>
      </c>
      <c r="B35" t="s">
        <v>51</v>
      </c>
      <c r="C35">
        <v>31</v>
      </c>
      <c r="D35">
        <v>3.548387</v>
      </c>
    </row>
    <row r="36" spans="1:4" x14ac:dyDescent="0.3">
      <c r="A36" t="s">
        <v>6</v>
      </c>
      <c r="B36" t="s">
        <v>7</v>
      </c>
      <c r="C36">
        <v>35</v>
      </c>
      <c r="D36">
        <v>3.5142859999999998</v>
      </c>
    </row>
    <row r="37" spans="1:4" x14ac:dyDescent="0.3">
      <c r="A37" t="s">
        <v>28</v>
      </c>
      <c r="B37" t="s">
        <v>29</v>
      </c>
      <c r="C37">
        <v>43</v>
      </c>
      <c r="D37">
        <v>3.4186049999999999</v>
      </c>
    </row>
    <row r="38" spans="1:4" x14ac:dyDescent="0.3">
      <c r="A38" t="s">
        <v>70</v>
      </c>
      <c r="B38" t="s">
        <v>71</v>
      </c>
      <c r="C38">
        <v>34</v>
      </c>
      <c r="D38">
        <v>3.4117649999999999</v>
      </c>
    </row>
    <row r="39" spans="1:4" x14ac:dyDescent="0.3">
      <c r="A39" t="s">
        <v>32</v>
      </c>
      <c r="B39" t="s">
        <v>33</v>
      </c>
      <c r="C39">
        <v>31</v>
      </c>
      <c r="D39">
        <v>3.3548390000000001</v>
      </c>
    </row>
    <row r="40" spans="1:4" x14ac:dyDescent="0.3">
      <c r="A40" t="s">
        <v>58</v>
      </c>
      <c r="B40" t="s">
        <v>59</v>
      </c>
      <c r="C40">
        <v>28</v>
      </c>
      <c r="D40">
        <v>3.3214290000000002</v>
      </c>
    </row>
    <row r="41" spans="1:4" x14ac:dyDescent="0.3">
      <c r="A41" t="s">
        <v>4</v>
      </c>
      <c r="B41" t="s">
        <v>5</v>
      </c>
      <c r="C41">
        <v>30</v>
      </c>
      <c r="D41">
        <v>3.1666669999999999</v>
      </c>
    </row>
    <row r="42" spans="1:4" x14ac:dyDescent="0.3">
      <c r="A42" t="s">
        <v>18</v>
      </c>
      <c r="B42" t="s">
        <v>19</v>
      </c>
      <c r="C42">
        <v>29</v>
      </c>
      <c r="D42">
        <v>3.137931</v>
      </c>
    </row>
    <row r="43" spans="1:4" x14ac:dyDescent="0.3">
      <c r="A43" t="s">
        <v>20</v>
      </c>
      <c r="B43" t="s">
        <v>21</v>
      </c>
      <c r="C43">
        <v>43</v>
      </c>
      <c r="D43">
        <v>3.116279</v>
      </c>
    </row>
    <row r="44" spans="1:4" x14ac:dyDescent="0.3">
      <c r="A44" t="s">
        <v>38</v>
      </c>
      <c r="B44" t="s">
        <v>39</v>
      </c>
      <c r="C44">
        <v>32</v>
      </c>
      <c r="D44">
        <v>3.0625</v>
      </c>
    </row>
    <row r="45" spans="1:4" x14ac:dyDescent="0.3">
      <c r="A45" t="s">
        <v>68</v>
      </c>
      <c r="B45" t="s">
        <v>69</v>
      </c>
      <c r="C45">
        <v>21</v>
      </c>
      <c r="D45">
        <v>3.0476190000000001</v>
      </c>
    </row>
    <row r="46" spans="1:4" x14ac:dyDescent="0.3">
      <c r="A46" t="s">
        <v>66</v>
      </c>
      <c r="B46" t="s">
        <v>67</v>
      </c>
      <c r="C46">
        <v>29</v>
      </c>
      <c r="D46">
        <v>3</v>
      </c>
    </row>
    <row r="47" spans="1:4" x14ac:dyDescent="0.3">
      <c r="A47" t="s">
        <v>22</v>
      </c>
      <c r="B47" t="s">
        <v>23</v>
      </c>
      <c r="C47">
        <v>31</v>
      </c>
      <c r="D47">
        <v>2.9354840000000002</v>
      </c>
    </row>
    <row r="48" spans="1:4" x14ac:dyDescent="0.3">
      <c r="A48" t="s">
        <v>12</v>
      </c>
      <c r="B48" t="s">
        <v>13</v>
      </c>
      <c r="C48">
        <v>32</v>
      </c>
      <c r="D48">
        <v>2.84375</v>
      </c>
    </row>
    <row r="49" spans="1:4" x14ac:dyDescent="0.3">
      <c r="A49" t="s">
        <v>8</v>
      </c>
      <c r="B49" t="s">
        <v>9</v>
      </c>
      <c r="C49">
        <v>23</v>
      </c>
      <c r="D49">
        <v>2.6086960000000001</v>
      </c>
    </row>
    <row r="50" spans="1:4" x14ac:dyDescent="0.3">
      <c r="A50" t="s">
        <v>40</v>
      </c>
      <c r="B50" t="s">
        <v>41</v>
      </c>
      <c r="C50">
        <v>25</v>
      </c>
      <c r="D50">
        <v>2.44</v>
      </c>
    </row>
    <row r="51" spans="1:4" x14ac:dyDescent="0.3">
      <c r="A51" t="s">
        <v>10</v>
      </c>
      <c r="B51" t="s">
        <v>11</v>
      </c>
      <c r="C51">
        <v>29</v>
      </c>
      <c r="D51">
        <v>1.896552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50D0-79FA-44AE-8F50-A83B27232BD8}">
  <dimension ref="A1:P11"/>
  <sheetViews>
    <sheetView workbookViewId="0">
      <selection activeCell="R9" sqref="R9"/>
    </sheetView>
  </sheetViews>
  <sheetFormatPr defaultRowHeight="14.4" x14ac:dyDescent="0.3"/>
  <cols>
    <col min="1" max="1" width="14.6640625" customWidth="1"/>
    <col min="2" max="2" width="17.77734375" customWidth="1"/>
    <col min="15" max="15" width="11.33203125" customWidth="1"/>
    <col min="16" max="16" width="13.44140625" customWidth="1"/>
  </cols>
  <sheetData>
    <row r="1" spans="1:16" x14ac:dyDescent="0.3">
      <c r="A1" s="4" t="s">
        <v>340</v>
      </c>
      <c r="B1" s="4" t="s">
        <v>341</v>
      </c>
    </row>
    <row r="2" spans="1:16" x14ac:dyDescent="0.3">
      <c r="A2" s="7" t="s">
        <v>91</v>
      </c>
      <c r="B2" s="7">
        <v>5.3</v>
      </c>
    </row>
    <row r="3" spans="1:16" x14ac:dyDescent="0.3">
      <c r="A3" s="4" t="s">
        <v>89</v>
      </c>
      <c r="B3" s="4">
        <v>4.9583329999999997</v>
      </c>
    </row>
    <row r="4" spans="1:16" x14ac:dyDescent="0.3">
      <c r="A4" s="7" t="s">
        <v>101</v>
      </c>
      <c r="B4" s="7">
        <v>4.9375</v>
      </c>
      <c r="O4" t="s">
        <v>343</v>
      </c>
    </row>
    <row r="5" spans="1:16" x14ac:dyDescent="0.3">
      <c r="A5" s="4" t="s">
        <v>93</v>
      </c>
      <c r="B5" s="4">
        <v>4.7096770000000001</v>
      </c>
    </row>
    <row r="6" spans="1:16" x14ac:dyDescent="0.3">
      <c r="A6" s="7" t="s">
        <v>47</v>
      </c>
      <c r="B6" s="7">
        <v>4.7</v>
      </c>
    </row>
    <row r="7" spans="1:16" x14ac:dyDescent="0.3">
      <c r="A7" s="4" t="s">
        <v>99</v>
      </c>
      <c r="B7" s="4">
        <v>4.6774190000000004</v>
      </c>
    </row>
    <row r="8" spans="1:16" x14ac:dyDescent="0.3">
      <c r="A8" s="7" t="s">
        <v>83</v>
      </c>
      <c r="B8" s="7">
        <v>4.65625</v>
      </c>
    </row>
    <row r="9" spans="1:16" x14ac:dyDescent="0.3">
      <c r="A9" s="4" t="s">
        <v>95</v>
      </c>
      <c r="B9" s="4">
        <v>4.6451609999999999</v>
      </c>
      <c r="O9" s="4" t="s">
        <v>342</v>
      </c>
      <c r="P9" s="4" t="s">
        <v>344</v>
      </c>
    </row>
    <row r="10" spans="1:16" x14ac:dyDescent="0.3">
      <c r="A10" s="7" t="s">
        <v>87</v>
      </c>
      <c r="B10" s="7">
        <v>4.5142860000000002</v>
      </c>
      <c r="O10" s="4" t="s">
        <v>345</v>
      </c>
      <c r="P10" s="4">
        <v>-4670</v>
      </c>
    </row>
    <row r="11" spans="1:16" x14ac:dyDescent="0.3">
      <c r="A11" s="4" t="s">
        <v>73</v>
      </c>
      <c r="B11" s="4">
        <v>4.4666670000000002</v>
      </c>
      <c r="O11" s="4" t="s">
        <v>109</v>
      </c>
      <c r="P11" s="4">
        <v>-3078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B1F4-A9C2-4AD0-A8B3-F701EB24A3E2}">
  <dimension ref="A1:K101"/>
  <sheetViews>
    <sheetView topLeftCell="A7" workbookViewId="0">
      <selection activeCell="M7" sqref="M7"/>
    </sheetView>
  </sheetViews>
  <sheetFormatPr defaultRowHeight="14.4" x14ac:dyDescent="0.3"/>
  <cols>
    <col min="1" max="1" width="13.21875" bestFit="1" customWidth="1"/>
    <col min="2" max="2" width="22" bestFit="1" customWidth="1"/>
    <col min="3" max="3" width="17.5546875" bestFit="1" customWidth="1"/>
    <col min="4" max="4" width="15.33203125" bestFit="1" customWidth="1"/>
    <col min="5" max="5" width="17.77734375" bestFit="1" customWidth="1"/>
    <col min="9" max="9" width="11" bestFit="1" customWidth="1"/>
    <col min="10" max="10" width="22" bestFit="1" customWidth="1"/>
    <col min="11" max="11" width="15.33203125" bestFit="1" customWidth="1"/>
  </cols>
  <sheetData>
    <row r="1" spans="1:11" x14ac:dyDescent="0.3">
      <c r="A1" t="s">
        <v>104</v>
      </c>
      <c r="B1" t="s">
        <v>105</v>
      </c>
      <c r="C1" t="s">
        <v>309</v>
      </c>
      <c r="D1" t="s">
        <v>310</v>
      </c>
      <c r="E1" t="s">
        <v>311</v>
      </c>
      <c r="I1" s="17" t="s">
        <v>104</v>
      </c>
      <c r="J1" s="18" t="s">
        <v>105</v>
      </c>
      <c r="K1" s="18" t="s">
        <v>309</v>
      </c>
    </row>
    <row r="2" spans="1:11" x14ac:dyDescent="0.3">
      <c r="A2" t="s">
        <v>161</v>
      </c>
      <c r="B2" t="s">
        <v>162</v>
      </c>
      <c r="C2">
        <v>216000</v>
      </c>
      <c r="D2">
        <v>389026</v>
      </c>
      <c r="E2">
        <v>173026</v>
      </c>
      <c r="I2" s="20" t="s">
        <v>161</v>
      </c>
      <c r="J2" s="21" t="s">
        <v>162</v>
      </c>
      <c r="K2" s="21">
        <v>216000</v>
      </c>
    </row>
    <row r="3" spans="1:11" x14ac:dyDescent="0.3">
      <c r="A3" t="s">
        <v>197</v>
      </c>
      <c r="B3" t="s">
        <v>198</v>
      </c>
      <c r="C3">
        <v>198720</v>
      </c>
      <c r="D3">
        <v>452064</v>
      </c>
      <c r="E3">
        <v>253344</v>
      </c>
      <c r="I3" s="23" t="s">
        <v>197</v>
      </c>
      <c r="J3" s="24" t="s">
        <v>198</v>
      </c>
      <c r="K3" s="24">
        <v>198720</v>
      </c>
    </row>
    <row r="4" spans="1:11" x14ac:dyDescent="0.3">
      <c r="A4" t="s">
        <v>237</v>
      </c>
      <c r="B4" t="s">
        <v>238</v>
      </c>
      <c r="C4">
        <v>195930</v>
      </c>
      <c r="D4">
        <v>388152</v>
      </c>
      <c r="E4">
        <v>192222</v>
      </c>
      <c r="I4" s="20" t="s">
        <v>237</v>
      </c>
      <c r="J4" s="21" t="s">
        <v>238</v>
      </c>
      <c r="K4" s="21">
        <v>195930</v>
      </c>
    </row>
    <row r="5" spans="1:11" x14ac:dyDescent="0.3">
      <c r="A5" t="s">
        <v>253</v>
      </c>
      <c r="B5" t="s">
        <v>254</v>
      </c>
      <c r="C5">
        <v>194701</v>
      </c>
      <c r="D5">
        <v>418203</v>
      </c>
      <c r="E5">
        <v>223502</v>
      </c>
      <c r="I5" s="23" t="s">
        <v>253</v>
      </c>
      <c r="J5" s="24" t="s">
        <v>254</v>
      </c>
      <c r="K5" s="24">
        <v>194701</v>
      </c>
    </row>
    <row r="6" spans="1:11" x14ac:dyDescent="0.3">
      <c r="A6" t="s">
        <v>147</v>
      </c>
      <c r="B6" t="s">
        <v>148</v>
      </c>
      <c r="C6">
        <v>193851</v>
      </c>
      <c r="D6">
        <v>304084</v>
      </c>
      <c r="E6">
        <v>110233</v>
      </c>
      <c r="I6" s="20" t="s">
        <v>147</v>
      </c>
      <c r="J6" s="21" t="s">
        <v>148</v>
      </c>
      <c r="K6" s="21">
        <v>193851</v>
      </c>
    </row>
    <row r="7" spans="1:11" x14ac:dyDescent="0.3">
      <c r="A7" t="s">
        <v>301</v>
      </c>
      <c r="B7" t="s">
        <v>302</v>
      </c>
      <c r="C7">
        <v>182588</v>
      </c>
      <c r="D7">
        <v>463050</v>
      </c>
      <c r="E7">
        <v>280462</v>
      </c>
      <c r="I7" s="23" t="s">
        <v>301</v>
      </c>
      <c r="J7" s="24" t="s">
        <v>302</v>
      </c>
      <c r="K7" s="24">
        <v>182588</v>
      </c>
    </row>
    <row r="8" spans="1:11" x14ac:dyDescent="0.3">
      <c r="A8" t="s">
        <v>175</v>
      </c>
      <c r="B8" t="s">
        <v>176</v>
      </c>
      <c r="C8">
        <v>180489</v>
      </c>
      <c r="D8">
        <v>350900</v>
      </c>
      <c r="E8">
        <v>170411</v>
      </c>
      <c r="I8" s="20" t="s">
        <v>175</v>
      </c>
      <c r="J8" s="21" t="s">
        <v>176</v>
      </c>
      <c r="K8" s="21">
        <v>180489</v>
      </c>
    </row>
    <row r="9" spans="1:11" x14ac:dyDescent="0.3">
      <c r="A9" t="s">
        <v>113</v>
      </c>
      <c r="B9" t="s">
        <v>114</v>
      </c>
      <c r="C9">
        <v>179520</v>
      </c>
      <c r="D9">
        <v>174850</v>
      </c>
      <c r="E9">
        <v>-4670</v>
      </c>
      <c r="I9" s="23" t="s">
        <v>113</v>
      </c>
      <c r="J9" s="24" t="s">
        <v>114</v>
      </c>
      <c r="K9" s="24">
        <v>179520</v>
      </c>
    </row>
    <row r="10" spans="1:11" x14ac:dyDescent="0.3">
      <c r="A10" t="s">
        <v>121</v>
      </c>
      <c r="B10" t="s">
        <v>122</v>
      </c>
      <c r="C10">
        <v>178448</v>
      </c>
      <c r="D10">
        <v>301920</v>
      </c>
      <c r="E10">
        <v>123472</v>
      </c>
      <c r="I10" s="20" t="s">
        <v>121</v>
      </c>
      <c r="J10" s="21" t="s">
        <v>122</v>
      </c>
      <c r="K10" s="21">
        <v>178448</v>
      </c>
    </row>
    <row r="11" spans="1:11" x14ac:dyDescent="0.3">
      <c r="A11" t="s">
        <v>269</v>
      </c>
      <c r="B11" t="s">
        <v>270</v>
      </c>
      <c r="C11">
        <v>170028</v>
      </c>
      <c r="D11">
        <v>342940</v>
      </c>
      <c r="E11">
        <v>172912</v>
      </c>
      <c r="I11" s="23" t="s">
        <v>269</v>
      </c>
      <c r="J11" s="24" t="s">
        <v>270</v>
      </c>
      <c r="K11" s="24">
        <v>170028</v>
      </c>
    </row>
    <row r="12" spans="1:11" x14ac:dyDescent="0.3">
      <c r="A12" t="s">
        <v>217</v>
      </c>
      <c r="B12" t="s">
        <v>218</v>
      </c>
      <c r="C12">
        <v>169715</v>
      </c>
      <c r="D12">
        <v>400316</v>
      </c>
      <c r="E12">
        <v>230601</v>
      </c>
    </row>
    <row r="13" spans="1:11" x14ac:dyDescent="0.3">
      <c r="A13" t="s">
        <v>151</v>
      </c>
      <c r="B13" t="s">
        <v>152</v>
      </c>
      <c r="C13">
        <v>163852</v>
      </c>
      <c r="D13">
        <v>257224</v>
      </c>
      <c r="E13">
        <v>93372</v>
      </c>
    </row>
    <row r="14" spans="1:11" x14ac:dyDescent="0.3">
      <c r="A14" t="s">
        <v>123</v>
      </c>
      <c r="B14" t="s">
        <v>124</v>
      </c>
      <c r="C14">
        <v>161810</v>
      </c>
      <c r="D14">
        <v>233548</v>
      </c>
      <c r="E14">
        <v>71738</v>
      </c>
    </row>
    <row r="15" spans="1:11" x14ac:dyDescent="0.3">
      <c r="A15" t="s">
        <v>193</v>
      </c>
      <c r="B15" t="s">
        <v>194</v>
      </c>
      <c r="C15">
        <v>152004</v>
      </c>
      <c r="D15">
        <v>290928</v>
      </c>
      <c r="E15">
        <v>138924</v>
      </c>
    </row>
    <row r="16" spans="1:11" x14ac:dyDescent="0.3">
      <c r="A16" t="s">
        <v>137</v>
      </c>
      <c r="B16" t="s">
        <v>138</v>
      </c>
      <c r="C16">
        <v>149765</v>
      </c>
      <c r="D16">
        <v>222684</v>
      </c>
      <c r="E16">
        <v>72919</v>
      </c>
    </row>
    <row r="17" spans="1:5" x14ac:dyDescent="0.3">
      <c r="A17" t="s">
        <v>187</v>
      </c>
      <c r="B17" t="s">
        <v>188</v>
      </c>
      <c r="C17">
        <v>146775</v>
      </c>
      <c r="D17">
        <v>324780</v>
      </c>
      <c r="E17">
        <v>178005</v>
      </c>
    </row>
    <row r="18" spans="1:5" x14ac:dyDescent="0.3">
      <c r="A18" t="s">
        <v>133</v>
      </c>
      <c r="B18" t="s">
        <v>134</v>
      </c>
      <c r="C18">
        <v>140412</v>
      </c>
      <c r="D18">
        <v>211117</v>
      </c>
      <c r="E18">
        <v>70705</v>
      </c>
    </row>
    <row r="19" spans="1:5" x14ac:dyDescent="0.3">
      <c r="A19" t="s">
        <v>229</v>
      </c>
      <c r="B19" t="s">
        <v>230</v>
      </c>
      <c r="C19">
        <v>139410</v>
      </c>
      <c r="D19">
        <v>282663</v>
      </c>
      <c r="E19">
        <v>143253</v>
      </c>
    </row>
    <row r="20" spans="1:5" x14ac:dyDescent="0.3">
      <c r="A20" t="s">
        <v>159</v>
      </c>
      <c r="B20" t="s">
        <v>160</v>
      </c>
      <c r="C20">
        <v>139239</v>
      </c>
      <c r="D20">
        <v>241052</v>
      </c>
      <c r="E20">
        <v>101813</v>
      </c>
    </row>
    <row r="21" spans="1:5" x14ac:dyDescent="0.3">
      <c r="A21" t="s">
        <v>263</v>
      </c>
      <c r="B21" t="s">
        <v>264</v>
      </c>
      <c r="C21">
        <v>139018</v>
      </c>
      <c r="D21">
        <v>281980</v>
      </c>
      <c r="E21">
        <v>142962</v>
      </c>
    </row>
    <row r="22" spans="1:5" x14ac:dyDescent="0.3">
      <c r="A22" t="s">
        <v>205</v>
      </c>
      <c r="B22" t="s">
        <v>206</v>
      </c>
      <c r="C22">
        <v>134316</v>
      </c>
      <c r="D22">
        <v>243892</v>
      </c>
      <c r="E22">
        <v>109576</v>
      </c>
    </row>
    <row r="23" spans="1:5" x14ac:dyDescent="0.3">
      <c r="A23" t="s">
        <v>245</v>
      </c>
      <c r="B23" t="s">
        <v>246</v>
      </c>
      <c r="C23">
        <v>132291</v>
      </c>
      <c r="D23">
        <v>216360</v>
      </c>
      <c r="E23">
        <v>84069</v>
      </c>
    </row>
    <row r="24" spans="1:5" x14ac:dyDescent="0.3">
      <c r="A24" t="s">
        <v>259</v>
      </c>
      <c r="B24" t="s">
        <v>260</v>
      </c>
      <c r="C24">
        <v>131472</v>
      </c>
      <c r="D24">
        <v>311184</v>
      </c>
      <c r="E24">
        <v>179712</v>
      </c>
    </row>
    <row r="25" spans="1:5" x14ac:dyDescent="0.3">
      <c r="A25" t="s">
        <v>211</v>
      </c>
      <c r="B25" t="s">
        <v>212</v>
      </c>
      <c r="C25">
        <v>129382</v>
      </c>
      <c r="D25">
        <v>302160</v>
      </c>
      <c r="E25">
        <v>172778</v>
      </c>
    </row>
    <row r="26" spans="1:5" x14ac:dyDescent="0.3">
      <c r="A26" t="s">
        <v>131</v>
      </c>
      <c r="B26" t="s">
        <v>132</v>
      </c>
      <c r="C26">
        <v>127590</v>
      </c>
      <c r="D26">
        <v>263284</v>
      </c>
      <c r="E26">
        <v>135694</v>
      </c>
    </row>
    <row r="27" spans="1:5" x14ac:dyDescent="0.3">
      <c r="A27" t="s">
        <v>219</v>
      </c>
      <c r="B27" t="s">
        <v>220</v>
      </c>
      <c r="C27">
        <v>124488</v>
      </c>
      <c r="D27">
        <v>279195</v>
      </c>
      <c r="E27">
        <v>154707</v>
      </c>
    </row>
    <row r="28" spans="1:5" x14ac:dyDescent="0.3">
      <c r="A28" t="s">
        <v>185</v>
      </c>
      <c r="B28" t="s">
        <v>186</v>
      </c>
      <c r="C28">
        <v>120393</v>
      </c>
      <c r="D28">
        <v>199744</v>
      </c>
      <c r="E28">
        <v>79351</v>
      </c>
    </row>
    <row r="29" spans="1:5" x14ac:dyDescent="0.3">
      <c r="A29" t="s">
        <v>271</v>
      </c>
      <c r="B29" t="s">
        <v>272</v>
      </c>
      <c r="C29">
        <v>120370</v>
      </c>
      <c r="D29">
        <v>295688</v>
      </c>
      <c r="E29">
        <v>175318</v>
      </c>
    </row>
    <row r="30" spans="1:5" x14ac:dyDescent="0.3">
      <c r="A30" t="s">
        <v>233</v>
      </c>
      <c r="B30" t="s">
        <v>234</v>
      </c>
      <c r="C30">
        <v>118932</v>
      </c>
      <c r="D30">
        <v>258020</v>
      </c>
      <c r="E30">
        <v>139088</v>
      </c>
    </row>
    <row r="31" spans="1:5" x14ac:dyDescent="0.3">
      <c r="A31" t="s">
        <v>251</v>
      </c>
      <c r="B31" t="s">
        <v>252</v>
      </c>
      <c r="C31">
        <v>117169</v>
      </c>
      <c r="D31">
        <v>178126</v>
      </c>
      <c r="E31">
        <v>60957</v>
      </c>
    </row>
    <row r="32" spans="1:5" x14ac:dyDescent="0.3">
      <c r="A32" t="s">
        <v>231</v>
      </c>
      <c r="B32" t="s">
        <v>232</v>
      </c>
      <c r="C32">
        <v>116832</v>
      </c>
      <c r="D32">
        <v>247884</v>
      </c>
      <c r="E32">
        <v>131052</v>
      </c>
    </row>
    <row r="33" spans="1:5" x14ac:dyDescent="0.3">
      <c r="A33" t="s">
        <v>189</v>
      </c>
      <c r="B33" t="s">
        <v>190</v>
      </c>
      <c r="C33">
        <v>115400</v>
      </c>
      <c r="D33">
        <v>176510</v>
      </c>
      <c r="E33">
        <v>61110</v>
      </c>
    </row>
    <row r="34" spans="1:5" x14ac:dyDescent="0.3">
      <c r="A34" t="s">
        <v>215</v>
      </c>
      <c r="B34" t="s">
        <v>216</v>
      </c>
      <c r="C34">
        <v>114741</v>
      </c>
      <c r="D34">
        <v>224906</v>
      </c>
      <c r="E34">
        <v>110165</v>
      </c>
    </row>
    <row r="35" spans="1:5" x14ac:dyDescent="0.3">
      <c r="A35" t="s">
        <v>285</v>
      </c>
      <c r="B35" t="s">
        <v>286</v>
      </c>
      <c r="C35">
        <v>113148</v>
      </c>
      <c r="D35">
        <v>274240</v>
      </c>
      <c r="E35">
        <v>161092</v>
      </c>
    </row>
    <row r="36" spans="1:5" x14ac:dyDescent="0.3">
      <c r="A36" t="s">
        <v>295</v>
      </c>
      <c r="B36" t="s">
        <v>296</v>
      </c>
      <c r="C36">
        <v>110502</v>
      </c>
      <c r="D36">
        <v>277248</v>
      </c>
      <c r="E36">
        <v>166746</v>
      </c>
    </row>
    <row r="37" spans="1:5" x14ac:dyDescent="0.3">
      <c r="A37" t="s">
        <v>155</v>
      </c>
      <c r="B37" t="s">
        <v>156</v>
      </c>
      <c r="C37">
        <v>108774</v>
      </c>
      <c r="D37">
        <v>216840</v>
      </c>
      <c r="E37">
        <v>108066</v>
      </c>
    </row>
    <row r="38" spans="1:5" x14ac:dyDescent="0.3">
      <c r="A38" t="s">
        <v>149</v>
      </c>
      <c r="B38" t="s">
        <v>150</v>
      </c>
      <c r="C38">
        <v>106920</v>
      </c>
      <c r="D38">
        <v>214302</v>
      </c>
      <c r="E38">
        <v>107382</v>
      </c>
    </row>
    <row r="39" spans="1:5" x14ac:dyDescent="0.3">
      <c r="A39" t="s">
        <v>255</v>
      </c>
      <c r="B39" t="s">
        <v>256</v>
      </c>
      <c r="C39">
        <v>106613</v>
      </c>
      <c r="D39">
        <v>214245</v>
      </c>
      <c r="E39">
        <v>107632</v>
      </c>
    </row>
    <row r="40" spans="1:5" x14ac:dyDescent="0.3">
      <c r="A40" t="s">
        <v>249</v>
      </c>
      <c r="B40" t="s">
        <v>250</v>
      </c>
      <c r="C40">
        <v>106380</v>
      </c>
      <c r="D40">
        <v>229662</v>
      </c>
      <c r="E40">
        <v>123282</v>
      </c>
    </row>
    <row r="41" spans="1:5" x14ac:dyDescent="0.3">
      <c r="A41" t="s">
        <v>283</v>
      </c>
      <c r="B41" t="s">
        <v>284</v>
      </c>
      <c r="C41">
        <v>106140</v>
      </c>
      <c r="D41">
        <v>328750</v>
      </c>
      <c r="E41">
        <v>222610</v>
      </c>
    </row>
    <row r="42" spans="1:5" x14ac:dyDescent="0.3">
      <c r="A42" t="s">
        <v>115</v>
      </c>
      <c r="B42" t="s">
        <v>116</v>
      </c>
      <c r="C42">
        <v>106020</v>
      </c>
      <c r="D42">
        <v>134688</v>
      </c>
      <c r="E42">
        <v>28668</v>
      </c>
    </row>
    <row r="43" spans="1:5" x14ac:dyDescent="0.3">
      <c r="A43" t="s">
        <v>119</v>
      </c>
      <c r="B43" t="s">
        <v>120</v>
      </c>
      <c r="C43">
        <v>105093</v>
      </c>
      <c r="D43">
        <v>156400</v>
      </c>
      <c r="E43">
        <v>51307</v>
      </c>
    </row>
    <row r="44" spans="1:5" x14ac:dyDescent="0.3">
      <c r="A44" t="s">
        <v>111</v>
      </c>
      <c r="B44" t="s">
        <v>112</v>
      </c>
      <c r="C44">
        <v>105028</v>
      </c>
      <c r="D44">
        <v>122175</v>
      </c>
      <c r="E44">
        <v>17147</v>
      </c>
    </row>
    <row r="45" spans="1:5" x14ac:dyDescent="0.3">
      <c r="A45" t="s">
        <v>171</v>
      </c>
      <c r="B45" t="s">
        <v>172</v>
      </c>
      <c r="C45">
        <v>104985</v>
      </c>
      <c r="D45">
        <v>180532</v>
      </c>
      <c r="E45">
        <v>75547</v>
      </c>
    </row>
    <row r="46" spans="1:5" x14ac:dyDescent="0.3">
      <c r="A46" t="s">
        <v>153</v>
      </c>
      <c r="B46" t="s">
        <v>154</v>
      </c>
      <c r="C46">
        <v>104080</v>
      </c>
      <c r="D46">
        <v>208971</v>
      </c>
      <c r="E46">
        <v>104891</v>
      </c>
    </row>
    <row r="47" spans="1:5" x14ac:dyDescent="0.3">
      <c r="A47" t="s">
        <v>169</v>
      </c>
      <c r="B47" t="s">
        <v>170</v>
      </c>
      <c r="C47">
        <v>101772</v>
      </c>
      <c r="D47">
        <v>199272</v>
      </c>
      <c r="E47">
        <v>97500</v>
      </c>
    </row>
    <row r="48" spans="1:5" x14ac:dyDescent="0.3">
      <c r="A48" t="s">
        <v>183</v>
      </c>
      <c r="B48" t="s">
        <v>184</v>
      </c>
      <c r="C48">
        <v>100892</v>
      </c>
      <c r="D48">
        <v>210378</v>
      </c>
      <c r="E48">
        <v>109486</v>
      </c>
    </row>
    <row r="49" spans="1:5" x14ac:dyDescent="0.3">
      <c r="A49" t="s">
        <v>181</v>
      </c>
      <c r="B49" t="s">
        <v>182</v>
      </c>
      <c r="C49">
        <v>100837</v>
      </c>
      <c r="D49">
        <v>159600</v>
      </c>
      <c r="E49">
        <v>58763</v>
      </c>
    </row>
    <row r="50" spans="1:5" x14ac:dyDescent="0.3">
      <c r="A50" t="s">
        <v>293</v>
      </c>
      <c r="B50" t="s">
        <v>294</v>
      </c>
      <c r="C50">
        <v>99790</v>
      </c>
      <c r="D50">
        <v>244700</v>
      </c>
      <c r="E50">
        <v>144910</v>
      </c>
    </row>
    <row r="51" spans="1:5" x14ac:dyDescent="0.3">
      <c r="A51" t="s">
        <v>143</v>
      </c>
      <c r="B51" t="s">
        <v>144</v>
      </c>
      <c r="C51">
        <v>99152</v>
      </c>
      <c r="D51">
        <v>153604</v>
      </c>
      <c r="E51">
        <v>54452</v>
      </c>
    </row>
    <row r="52" spans="1:5" x14ac:dyDescent="0.3">
      <c r="A52" t="s">
        <v>289</v>
      </c>
      <c r="B52" t="s">
        <v>290</v>
      </c>
      <c r="C52">
        <v>98964</v>
      </c>
      <c r="D52">
        <v>206560</v>
      </c>
      <c r="E52">
        <v>107596</v>
      </c>
    </row>
    <row r="53" spans="1:5" x14ac:dyDescent="0.3">
      <c r="A53" t="s">
        <v>267</v>
      </c>
      <c r="B53" t="s">
        <v>268</v>
      </c>
      <c r="C53">
        <v>94886</v>
      </c>
      <c r="D53">
        <v>174720</v>
      </c>
      <c r="E53">
        <v>79834</v>
      </c>
    </row>
    <row r="54" spans="1:5" x14ac:dyDescent="0.3">
      <c r="A54" t="s">
        <v>287</v>
      </c>
      <c r="B54" t="s">
        <v>288</v>
      </c>
      <c r="C54">
        <v>94413</v>
      </c>
      <c r="D54">
        <v>259880</v>
      </c>
      <c r="E54">
        <v>165467</v>
      </c>
    </row>
    <row r="55" spans="1:5" x14ac:dyDescent="0.3">
      <c r="A55" t="s">
        <v>297</v>
      </c>
      <c r="B55" t="s">
        <v>298</v>
      </c>
      <c r="C55">
        <v>92114</v>
      </c>
      <c r="D55">
        <v>249318</v>
      </c>
      <c r="E55">
        <v>157204</v>
      </c>
    </row>
    <row r="56" spans="1:5" x14ac:dyDescent="0.3">
      <c r="A56" t="s">
        <v>117</v>
      </c>
      <c r="B56" t="s">
        <v>118</v>
      </c>
      <c r="C56">
        <v>91720</v>
      </c>
      <c r="D56">
        <v>109782</v>
      </c>
      <c r="E56">
        <v>18062</v>
      </c>
    </row>
    <row r="57" spans="1:5" x14ac:dyDescent="0.3">
      <c r="A57" t="s">
        <v>221</v>
      </c>
      <c r="B57" t="s">
        <v>222</v>
      </c>
      <c r="C57">
        <v>89760</v>
      </c>
      <c r="D57">
        <v>161610</v>
      </c>
      <c r="E57">
        <v>71850</v>
      </c>
    </row>
    <row r="58" spans="1:5" x14ac:dyDescent="0.3">
      <c r="A58" t="s">
        <v>195</v>
      </c>
      <c r="B58" t="s">
        <v>196</v>
      </c>
      <c r="C58">
        <v>88700</v>
      </c>
      <c r="D58">
        <v>195120</v>
      </c>
      <c r="E58">
        <v>106420</v>
      </c>
    </row>
    <row r="59" spans="1:5" x14ac:dyDescent="0.3">
      <c r="A59" t="s">
        <v>145</v>
      </c>
      <c r="B59" t="s">
        <v>146</v>
      </c>
      <c r="C59">
        <v>88462</v>
      </c>
      <c r="D59">
        <v>181373</v>
      </c>
      <c r="E59">
        <v>92911</v>
      </c>
    </row>
    <row r="60" spans="1:5" x14ac:dyDescent="0.3">
      <c r="A60" t="s">
        <v>203</v>
      </c>
      <c r="B60" t="s">
        <v>204</v>
      </c>
      <c r="C60">
        <v>85452</v>
      </c>
      <c r="D60">
        <v>178096</v>
      </c>
      <c r="E60">
        <v>92644</v>
      </c>
    </row>
    <row r="61" spans="1:5" x14ac:dyDescent="0.3">
      <c r="A61" t="s">
        <v>191</v>
      </c>
      <c r="B61" t="s">
        <v>192</v>
      </c>
      <c r="C61">
        <v>85250</v>
      </c>
      <c r="D61">
        <v>144780</v>
      </c>
      <c r="E61">
        <v>59530</v>
      </c>
    </row>
    <row r="62" spans="1:5" x14ac:dyDescent="0.3">
      <c r="A62" t="s">
        <v>125</v>
      </c>
      <c r="B62" t="s">
        <v>126</v>
      </c>
      <c r="C62">
        <v>84159</v>
      </c>
      <c r="D62">
        <v>138072</v>
      </c>
      <c r="E62">
        <v>53913</v>
      </c>
    </row>
    <row r="63" spans="1:5" x14ac:dyDescent="0.3">
      <c r="A63" t="s">
        <v>209</v>
      </c>
      <c r="B63" t="s">
        <v>210</v>
      </c>
      <c r="C63">
        <v>82701</v>
      </c>
      <c r="D63">
        <v>183420</v>
      </c>
      <c r="E63">
        <v>100719</v>
      </c>
    </row>
    <row r="64" spans="1:5" x14ac:dyDescent="0.3">
      <c r="A64" t="s">
        <v>235</v>
      </c>
      <c r="B64" t="s">
        <v>236</v>
      </c>
      <c r="C64">
        <v>81746</v>
      </c>
      <c r="D64">
        <v>173282</v>
      </c>
      <c r="E64">
        <v>91536</v>
      </c>
    </row>
    <row r="65" spans="1:5" x14ac:dyDescent="0.3">
      <c r="A65" t="s">
        <v>207</v>
      </c>
      <c r="B65" t="s">
        <v>208</v>
      </c>
      <c r="C65">
        <v>81630</v>
      </c>
      <c r="D65">
        <v>138675</v>
      </c>
      <c r="E65">
        <v>57045</v>
      </c>
    </row>
    <row r="66" spans="1:5" x14ac:dyDescent="0.3">
      <c r="A66" t="s">
        <v>241</v>
      </c>
      <c r="B66" t="s">
        <v>242</v>
      </c>
      <c r="C66">
        <v>79510</v>
      </c>
      <c r="D66">
        <v>194864</v>
      </c>
      <c r="E66">
        <v>115354</v>
      </c>
    </row>
    <row r="67" spans="1:5" x14ac:dyDescent="0.3">
      <c r="A67" t="s">
        <v>213</v>
      </c>
      <c r="B67" t="s">
        <v>214</v>
      </c>
      <c r="C67">
        <v>78896</v>
      </c>
      <c r="D67">
        <v>161215</v>
      </c>
      <c r="E67">
        <v>82319</v>
      </c>
    </row>
    <row r="68" spans="1:5" x14ac:dyDescent="0.3">
      <c r="A68" t="s">
        <v>167</v>
      </c>
      <c r="B68" t="s">
        <v>168</v>
      </c>
      <c r="C68">
        <v>77112</v>
      </c>
      <c r="D68">
        <v>131380</v>
      </c>
      <c r="E68">
        <v>54268</v>
      </c>
    </row>
    <row r="69" spans="1:5" x14ac:dyDescent="0.3">
      <c r="A69" t="s">
        <v>305</v>
      </c>
      <c r="B69" t="s">
        <v>306</v>
      </c>
      <c r="C69">
        <v>77080</v>
      </c>
      <c r="D69">
        <v>221650</v>
      </c>
      <c r="E69">
        <v>144570</v>
      </c>
    </row>
    <row r="70" spans="1:5" x14ac:dyDescent="0.3">
      <c r="A70" t="s">
        <v>299</v>
      </c>
      <c r="B70" t="s">
        <v>300</v>
      </c>
      <c r="C70">
        <v>75339</v>
      </c>
      <c r="D70">
        <v>251700</v>
      </c>
      <c r="E70">
        <v>176361</v>
      </c>
    </row>
    <row r="71" spans="1:5" x14ac:dyDescent="0.3">
      <c r="A71" t="s">
        <v>281</v>
      </c>
      <c r="B71" t="s">
        <v>282</v>
      </c>
      <c r="C71">
        <v>74520</v>
      </c>
      <c r="D71">
        <v>199746</v>
      </c>
      <c r="E71">
        <v>125226</v>
      </c>
    </row>
    <row r="72" spans="1:5" x14ac:dyDescent="0.3">
      <c r="A72" t="s">
        <v>179</v>
      </c>
      <c r="B72" t="s">
        <v>180</v>
      </c>
      <c r="C72">
        <v>74312</v>
      </c>
      <c r="D72">
        <v>150466</v>
      </c>
      <c r="E72">
        <v>76154</v>
      </c>
    </row>
    <row r="73" spans="1:5" x14ac:dyDescent="0.3">
      <c r="A73" t="s">
        <v>225</v>
      </c>
      <c r="B73" t="s">
        <v>226</v>
      </c>
      <c r="C73">
        <v>74112</v>
      </c>
      <c r="D73">
        <v>175815</v>
      </c>
      <c r="E73">
        <v>101703</v>
      </c>
    </row>
    <row r="74" spans="1:5" x14ac:dyDescent="0.3">
      <c r="A74" t="s">
        <v>223</v>
      </c>
      <c r="B74" t="s">
        <v>224</v>
      </c>
      <c r="C74">
        <v>72900</v>
      </c>
      <c r="D74">
        <v>232875</v>
      </c>
      <c r="E74">
        <v>159975</v>
      </c>
    </row>
    <row r="75" spans="1:5" x14ac:dyDescent="0.3">
      <c r="A75" t="s">
        <v>261</v>
      </c>
      <c r="B75" t="s">
        <v>262</v>
      </c>
      <c r="C75">
        <v>72837</v>
      </c>
      <c r="D75">
        <v>179496</v>
      </c>
      <c r="E75">
        <v>106659</v>
      </c>
    </row>
    <row r="76" spans="1:5" x14ac:dyDescent="0.3">
      <c r="A76" t="s">
        <v>247</v>
      </c>
      <c r="B76" t="s">
        <v>248</v>
      </c>
      <c r="C76">
        <v>72709</v>
      </c>
      <c r="D76">
        <v>128862</v>
      </c>
      <c r="E76">
        <v>56153</v>
      </c>
    </row>
    <row r="77" spans="1:5" x14ac:dyDescent="0.3">
      <c r="A77" t="s">
        <v>265</v>
      </c>
      <c r="B77" t="s">
        <v>266</v>
      </c>
      <c r="C77">
        <v>71772</v>
      </c>
      <c r="D77">
        <v>170963</v>
      </c>
      <c r="E77">
        <v>99191</v>
      </c>
    </row>
    <row r="78" spans="1:5" x14ac:dyDescent="0.3">
      <c r="A78" t="s">
        <v>277</v>
      </c>
      <c r="B78" t="s">
        <v>278</v>
      </c>
      <c r="C78">
        <v>69486</v>
      </c>
      <c r="D78">
        <v>187350</v>
      </c>
      <c r="E78">
        <v>117864</v>
      </c>
    </row>
    <row r="79" spans="1:5" x14ac:dyDescent="0.3">
      <c r="A79" t="s">
        <v>139</v>
      </c>
      <c r="B79" t="s">
        <v>140</v>
      </c>
      <c r="C79">
        <v>68033</v>
      </c>
      <c r="D79">
        <v>100480</v>
      </c>
      <c r="E79">
        <v>32447</v>
      </c>
    </row>
    <row r="80" spans="1:5" x14ac:dyDescent="0.3">
      <c r="A80" t="s">
        <v>109</v>
      </c>
      <c r="B80" t="s">
        <v>110</v>
      </c>
      <c r="C80">
        <v>67590</v>
      </c>
      <c r="D80">
        <v>64512</v>
      </c>
      <c r="E80">
        <v>-3078</v>
      </c>
    </row>
    <row r="81" spans="1:5" x14ac:dyDescent="0.3">
      <c r="A81" t="s">
        <v>199</v>
      </c>
      <c r="B81" t="s">
        <v>200</v>
      </c>
      <c r="C81">
        <v>65098</v>
      </c>
      <c r="D81">
        <v>126464</v>
      </c>
      <c r="E81">
        <v>61366</v>
      </c>
    </row>
    <row r="82" spans="1:5" x14ac:dyDescent="0.3">
      <c r="A82" t="s">
        <v>165</v>
      </c>
      <c r="B82" t="s">
        <v>166</v>
      </c>
      <c r="C82">
        <v>64566</v>
      </c>
      <c r="D82">
        <v>155703</v>
      </c>
      <c r="E82">
        <v>91137</v>
      </c>
    </row>
    <row r="83" spans="1:5" x14ac:dyDescent="0.3">
      <c r="A83" t="s">
        <v>257</v>
      </c>
      <c r="B83" t="s">
        <v>258</v>
      </c>
      <c r="C83">
        <v>63666</v>
      </c>
      <c r="D83">
        <v>161704</v>
      </c>
      <c r="E83">
        <v>98038</v>
      </c>
    </row>
    <row r="84" spans="1:5" x14ac:dyDescent="0.3">
      <c r="A84" t="s">
        <v>279</v>
      </c>
      <c r="B84" t="s">
        <v>280</v>
      </c>
      <c r="C84">
        <v>63287</v>
      </c>
      <c r="D84">
        <v>147839</v>
      </c>
      <c r="E84">
        <v>84552</v>
      </c>
    </row>
    <row r="85" spans="1:5" x14ac:dyDescent="0.3">
      <c r="A85" t="s">
        <v>141</v>
      </c>
      <c r="B85" t="s">
        <v>142</v>
      </c>
      <c r="C85">
        <v>61866</v>
      </c>
      <c r="D85">
        <v>116640</v>
      </c>
      <c r="E85">
        <v>54774</v>
      </c>
    </row>
    <row r="86" spans="1:5" x14ac:dyDescent="0.3">
      <c r="A86" t="s">
        <v>177</v>
      </c>
      <c r="B86" t="s">
        <v>178</v>
      </c>
      <c r="C86">
        <v>59832</v>
      </c>
      <c r="D86">
        <v>117768</v>
      </c>
      <c r="E86">
        <v>57936</v>
      </c>
    </row>
    <row r="87" spans="1:5" x14ac:dyDescent="0.3">
      <c r="A87" t="s">
        <v>239</v>
      </c>
      <c r="B87" t="s">
        <v>240</v>
      </c>
      <c r="C87">
        <v>59540</v>
      </c>
      <c r="D87">
        <v>199070</v>
      </c>
      <c r="E87">
        <v>139530</v>
      </c>
    </row>
    <row r="88" spans="1:5" x14ac:dyDescent="0.3">
      <c r="A88" t="s">
        <v>291</v>
      </c>
      <c r="B88" t="s">
        <v>292</v>
      </c>
      <c r="C88">
        <v>57792</v>
      </c>
      <c r="D88">
        <v>122475</v>
      </c>
      <c r="E88">
        <v>64683</v>
      </c>
    </row>
    <row r="89" spans="1:5" x14ac:dyDescent="0.3">
      <c r="A89" t="s">
        <v>129</v>
      </c>
      <c r="B89" t="s">
        <v>130</v>
      </c>
      <c r="C89">
        <v>57659</v>
      </c>
      <c r="D89">
        <v>76510</v>
      </c>
      <c r="E89">
        <v>18851</v>
      </c>
    </row>
    <row r="90" spans="1:5" x14ac:dyDescent="0.3">
      <c r="A90" t="s">
        <v>173</v>
      </c>
      <c r="B90" t="s">
        <v>174</v>
      </c>
      <c r="C90">
        <v>57528</v>
      </c>
      <c r="D90">
        <v>99632</v>
      </c>
      <c r="E90">
        <v>42104</v>
      </c>
    </row>
    <row r="91" spans="1:5" x14ac:dyDescent="0.3">
      <c r="A91" t="s">
        <v>303</v>
      </c>
      <c r="B91" t="s">
        <v>304</v>
      </c>
      <c r="C91">
        <v>51840</v>
      </c>
      <c r="D91">
        <v>160258</v>
      </c>
      <c r="E91">
        <v>108418</v>
      </c>
    </row>
    <row r="92" spans="1:5" x14ac:dyDescent="0.3">
      <c r="A92" t="s">
        <v>307</v>
      </c>
      <c r="B92" t="s">
        <v>308</v>
      </c>
      <c r="C92">
        <v>50244</v>
      </c>
      <c r="D92">
        <v>148733</v>
      </c>
      <c r="E92">
        <v>98489</v>
      </c>
    </row>
    <row r="93" spans="1:5" x14ac:dyDescent="0.3">
      <c r="A93" t="s">
        <v>273</v>
      </c>
      <c r="B93" t="s">
        <v>274</v>
      </c>
      <c r="C93">
        <v>48120</v>
      </c>
      <c r="D93">
        <v>123333</v>
      </c>
      <c r="E93">
        <v>75213</v>
      </c>
    </row>
    <row r="94" spans="1:5" x14ac:dyDescent="0.3">
      <c r="A94" t="s">
        <v>243</v>
      </c>
      <c r="B94" t="s">
        <v>244</v>
      </c>
      <c r="C94">
        <v>47172</v>
      </c>
      <c r="D94">
        <v>89936</v>
      </c>
      <c r="E94">
        <v>42764</v>
      </c>
    </row>
    <row r="95" spans="1:5" x14ac:dyDescent="0.3">
      <c r="A95" t="s">
        <v>227</v>
      </c>
      <c r="B95" t="s">
        <v>228</v>
      </c>
      <c r="C95">
        <v>43236</v>
      </c>
      <c r="D95">
        <v>75413</v>
      </c>
      <c r="E95">
        <v>32177</v>
      </c>
    </row>
    <row r="96" spans="1:5" x14ac:dyDescent="0.3">
      <c r="A96" t="s">
        <v>135</v>
      </c>
      <c r="B96" t="s">
        <v>136</v>
      </c>
      <c r="C96">
        <v>42948</v>
      </c>
      <c r="D96">
        <v>85646</v>
      </c>
      <c r="E96">
        <v>42698</v>
      </c>
    </row>
    <row r="97" spans="1:5" x14ac:dyDescent="0.3">
      <c r="A97" t="s">
        <v>201</v>
      </c>
      <c r="B97" t="s">
        <v>202</v>
      </c>
      <c r="C97">
        <v>41820</v>
      </c>
      <c r="D97">
        <v>98464</v>
      </c>
      <c r="E97">
        <v>56644</v>
      </c>
    </row>
    <row r="98" spans="1:5" x14ac:dyDescent="0.3">
      <c r="A98" t="s">
        <v>127</v>
      </c>
      <c r="B98" t="s">
        <v>128</v>
      </c>
      <c r="C98">
        <v>38208</v>
      </c>
      <c r="D98">
        <v>70465</v>
      </c>
      <c r="E98">
        <v>32257</v>
      </c>
    </row>
    <row r="99" spans="1:5" x14ac:dyDescent="0.3">
      <c r="A99" t="s">
        <v>163</v>
      </c>
      <c r="B99" t="s">
        <v>164</v>
      </c>
      <c r="C99">
        <v>29304</v>
      </c>
      <c r="D99">
        <v>62475</v>
      </c>
      <c r="E99">
        <v>33171</v>
      </c>
    </row>
    <row r="100" spans="1:5" x14ac:dyDescent="0.3">
      <c r="A100" t="s">
        <v>275</v>
      </c>
      <c r="B100" t="s">
        <v>276</v>
      </c>
      <c r="C100">
        <v>26187</v>
      </c>
      <c r="D100">
        <v>81126</v>
      </c>
      <c r="E100">
        <v>54939</v>
      </c>
    </row>
    <row r="101" spans="1:5" x14ac:dyDescent="0.3">
      <c r="A101" t="s">
        <v>157</v>
      </c>
      <c r="B101" t="s">
        <v>158</v>
      </c>
      <c r="C101">
        <v>15381</v>
      </c>
      <c r="D101">
        <v>42165</v>
      </c>
      <c r="E101">
        <v>26784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BA88-DBF1-4264-90C4-9DD431DF2C8B}">
  <dimension ref="A1:N101"/>
  <sheetViews>
    <sheetView workbookViewId="0">
      <selection activeCell="O24" sqref="O24"/>
    </sheetView>
  </sheetViews>
  <sheetFormatPr defaultRowHeight="14.4" x14ac:dyDescent="0.3"/>
  <cols>
    <col min="1" max="1" width="13.21875" bestFit="1" customWidth="1"/>
    <col min="2" max="2" width="22" bestFit="1" customWidth="1"/>
    <col min="3" max="3" width="16.5546875" bestFit="1" customWidth="1"/>
    <col min="4" max="4" width="16.88671875" bestFit="1" customWidth="1"/>
    <col min="5" max="5" width="15.109375" bestFit="1" customWidth="1"/>
    <col min="13" max="13" width="22" bestFit="1" customWidth="1"/>
    <col min="14" max="14" width="12.88671875" bestFit="1" customWidth="1"/>
  </cols>
  <sheetData>
    <row r="1" spans="1:14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L1" s="13" t="s">
        <v>104</v>
      </c>
      <c r="M1" s="13" t="s">
        <v>105</v>
      </c>
      <c r="N1" s="13" t="s">
        <v>108</v>
      </c>
    </row>
    <row r="2" spans="1:14" x14ac:dyDescent="0.3">
      <c r="A2" t="s">
        <v>109</v>
      </c>
      <c r="B2" t="s">
        <v>110</v>
      </c>
      <c r="C2">
        <v>139</v>
      </c>
      <c r="D2">
        <v>512</v>
      </c>
      <c r="E2">
        <v>373</v>
      </c>
      <c r="L2" s="7" t="s">
        <v>109</v>
      </c>
      <c r="M2" s="7" t="s">
        <v>110</v>
      </c>
      <c r="N2" s="14">
        <v>373</v>
      </c>
    </row>
    <row r="3" spans="1:14" x14ac:dyDescent="0.3">
      <c r="A3" t="s">
        <v>111</v>
      </c>
      <c r="B3" t="s">
        <v>112</v>
      </c>
      <c r="C3">
        <v>264</v>
      </c>
      <c r="D3">
        <v>646.42857100000003</v>
      </c>
      <c r="E3">
        <v>382.42857099999998</v>
      </c>
      <c r="L3" s="4" t="s">
        <v>111</v>
      </c>
      <c r="M3" s="4" t="s">
        <v>112</v>
      </c>
      <c r="N3" s="15">
        <v>382.42857099999998</v>
      </c>
    </row>
    <row r="4" spans="1:14" x14ac:dyDescent="0.3">
      <c r="A4" t="s">
        <v>113</v>
      </c>
      <c r="B4" t="s">
        <v>114</v>
      </c>
      <c r="C4">
        <v>151</v>
      </c>
      <c r="D4">
        <v>582.83333300000004</v>
      </c>
      <c r="E4">
        <v>431.83333299999998</v>
      </c>
      <c r="L4" s="7" t="s">
        <v>113</v>
      </c>
      <c r="M4" s="7" t="s">
        <v>114</v>
      </c>
      <c r="N4" s="14">
        <v>431.83333299999998</v>
      </c>
    </row>
    <row r="5" spans="1:14" x14ac:dyDescent="0.3">
      <c r="A5" t="s">
        <v>115</v>
      </c>
      <c r="B5" t="s">
        <v>116</v>
      </c>
      <c r="C5">
        <v>271</v>
      </c>
      <c r="D5">
        <v>748.26666699999998</v>
      </c>
      <c r="E5">
        <v>477.26666699999998</v>
      </c>
      <c r="L5" s="4" t="s">
        <v>115</v>
      </c>
      <c r="M5" s="4" t="s">
        <v>116</v>
      </c>
      <c r="N5" s="15">
        <v>477.26666699999998</v>
      </c>
    </row>
    <row r="6" spans="1:14" x14ac:dyDescent="0.3">
      <c r="A6" t="s">
        <v>117</v>
      </c>
      <c r="B6" t="s">
        <v>118</v>
      </c>
      <c r="C6">
        <v>103</v>
      </c>
      <c r="D6">
        <v>609.9</v>
      </c>
      <c r="E6">
        <v>506.9</v>
      </c>
      <c r="L6" s="7" t="s">
        <v>117</v>
      </c>
      <c r="M6" s="7" t="s">
        <v>118</v>
      </c>
      <c r="N6" s="14">
        <v>506.9</v>
      </c>
    </row>
    <row r="7" spans="1:14" x14ac:dyDescent="0.3">
      <c r="A7" t="s">
        <v>119</v>
      </c>
      <c r="B7" t="s">
        <v>120</v>
      </c>
      <c r="C7">
        <v>236</v>
      </c>
      <c r="D7">
        <v>755.55555600000002</v>
      </c>
      <c r="E7">
        <v>519.55555600000002</v>
      </c>
      <c r="L7" s="4" t="s">
        <v>119</v>
      </c>
      <c r="M7" s="4" t="s">
        <v>120</v>
      </c>
      <c r="N7" s="15">
        <v>519.55555600000002</v>
      </c>
    </row>
    <row r="8" spans="1:14" x14ac:dyDescent="0.3">
      <c r="A8" t="s">
        <v>121</v>
      </c>
      <c r="B8" t="s">
        <v>122</v>
      </c>
      <c r="C8">
        <v>191</v>
      </c>
      <c r="D8">
        <v>786.25</v>
      </c>
      <c r="E8">
        <v>595.25</v>
      </c>
      <c r="L8" s="7" t="s">
        <v>121</v>
      </c>
      <c r="M8" s="7" t="s">
        <v>122</v>
      </c>
      <c r="N8" s="14">
        <v>595.25</v>
      </c>
    </row>
    <row r="9" spans="1:14" x14ac:dyDescent="0.3">
      <c r="A9" t="s">
        <v>123</v>
      </c>
      <c r="B9" t="s">
        <v>124</v>
      </c>
      <c r="C9">
        <v>161</v>
      </c>
      <c r="D9">
        <v>758.27272700000003</v>
      </c>
      <c r="E9">
        <v>597.27272700000003</v>
      </c>
      <c r="L9" s="4" t="s">
        <v>123</v>
      </c>
      <c r="M9" s="4" t="s">
        <v>124</v>
      </c>
      <c r="N9" s="15">
        <v>597.27272700000003</v>
      </c>
    </row>
    <row r="10" spans="1:14" x14ac:dyDescent="0.3">
      <c r="A10" t="s">
        <v>125</v>
      </c>
      <c r="B10" t="s">
        <v>126</v>
      </c>
      <c r="C10">
        <v>90</v>
      </c>
      <c r="D10">
        <v>697.33333300000004</v>
      </c>
      <c r="E10">
        <v>607.33333300000004</v>
      </c>
      <c r="L10" s="7" t="s">
        <v>125</v>
      </c>
      <c r="M10" s="7" t="s">
        <v>126</v>
      </c>
      <c r="N10" s="14">
        <v>607.33333300000004</v>
      </c>
    </row>
    <row r="11" spans="1:14" x14ac:dyDescent="0.3">
      <c r="A11" t="s">
        <v>127</v>
      </c>
      <c r="B11" t="s">
        <v>128</v>
      </c>
      <c r="C11">
        <v>83</v>
      </c>
      <c r="D11">
        <v>690.83333300000004</v>
      </c>
      <c r="E11">
        <v>607.83333300000004</v>
      </c>
      <c r="L11" s="4" t="s">
        <v>127</v>
      </c>
      <c r="M11" s="4" t="s">
        <v>128</v>
      </c>
      <c r="N11" s="15">
        <v>607.83333300000004</v>
      </c>
    </row>
    <row r="12" spans="1:14" x14ac:dyDescent="0.3">
      <c r="A12" t="s">
        <v>129</v>
      </c>
      <c r="B12" t="s">
        <v>130</v>
      </c>
      <c r="C12">
        <v>152</v>
      </c>
      <c r="D12">
        <v>780.71428600000002</v>
      </c>
      <c r="E12">
        <v>628.71428600000002</v>
      </c>
      <c r="L12" s="10"/>
      <c r="M12" s="11"/>
      <c r="N12" s="12"/>
    </row>
    <row r="13" spans="1:14" x14ac:dyDescent="0.3">
      <c r="A13" t="s">
        <v>131</v>
      </c>
      <c r="B13" t="s">
        <v>132</v>
      </c>
      <c r="C13">
        <v>292</v>
      </c>
      <c r="D13">
        <v>940.3</v>
      </c>
      <c r="E13">
        <v>648.29999999999995</v>
      </c>
      <c r="L13" s="9"/>
      <c r="M13" s="6"/>
      <c r="N13" s="2"/>
    </row>
    <row r="14" spans="1:14" x14ac:dyDescent="0.3">
      <c r="A14" t="s">
        <v>133</v>
      </c>
      <c r="B14" t="s">
        <v>134</v>
      </c>
      <c r="C14">
        <v>113</v>
      </c>
      <c r="D14">
        <v>764.91666699999996</v>
      </c>
      <c r="E14">
        <v>651.91666699999996</v>
      </c>
      <c r="L14" s="8"/>
      <c r="M14" s="5"/>
      <c r="N14" s="1"/>
    </row>
    <row r="15" spans="1:14" x14ac:dyDescent="0.3">
      <c r="A15" t="s">
        <v>135</v>
      </c>
      <c r="B15" t="s">
        <v>136</v>
      </c>
      <c r="C15">
        <v>200</v>
      </c>
      <c r="D15">
        <v>865.11111100000005</v>
      </c>
      <c r="E15">
        <v>665.11111100000005</v>
      </c>
      <c r="L15" s="9"/>
      <c r="M15" s="6"/>
      <c r="N15" s="2"/>
    </row>
    <row r="16" spans="1:14" x14ac:dyDescent="0.3">
      <c r="A16" t="s">
        <v>137</v>
      </c>
      <c r="B16" t="s">
        <v>138</v>
      </c>
      <c r="C16">
        <v>52</v>
      </c>
      <c r="D16">
        <v>723</v>
      </c>
      <c r="E16">
        <v>671</v>
      </c>
      <c r="L16" s="8"/>
      <c r="M16" s="5"/>
      <c r="N16" s="1"/>
    </row>
    <row r="17" spans="1:14" x14ac:dyDescent="0.3">
      <c r="A17" t="s">
        <v>139</v>
      </c>
      <c r="B17" t="s">
        <v>140</v>
      </c>
      <c r="C17">
        <v>220</v>
      </c>
      <c r="D17">
        <v>897.14285700000005</v>
      </c>
      <c r="E17">
        <v>677.14285700000005</v>
      </c>
      <c r="L17" s="9"/>
      <c r="M17" s="6"/>
      <c r="N17" s="2"/>
    </row>
    <row r="18" spans="1:14" x14ac:dyDescent="0.3">
      <c r="A18" t="s">
        <v>141</v>
      </c>
      <c r="B18" t="s">
        <v>142</v>
      </c>
      <c r="C18">
        <v>125</v>
      </c>
      <c r="D18">
        <v>810</v>
      </c>
      <c r="E18">
        <v>685</v>
      </c>
      <c r="L18" s="8"/>
      <c r="M18" s="5"/>
      <c r="N18" s="1"/>
    </row>
    <row r="19" spans="1:14" x14ac:dyDescent="0.3">
      <c r="A19" t="s">
        <v>143</v>
      </c>
      <c r="B19" t="s">
        <v>144</v>
      </c>
      <c r="C19">
        <v>176</v>
      </c>
      <c r="D19">
        <v>872.75</v>
      </c>
      <c r="E19">
        <v>696.75</v>
      </c>
      <c r="L19" s="9"/>
      <c r="M19" s="6"/>
      <c r="N19" s="2"/>
    </row>
    <row r="20" spans="1:14" x14ac:dyDescent="0.3">
      <c r="A20" t="s">
        <v>145</v>
      </c>
      <c r="B20" t="s">
        <v>146</v>
      </c>
      <c r="C20">
        <v>273</v>
      </c>
      <c r="D20">
        <v>969.90909099999999</v>
      </c>
      <c r="E20">
        <v>696.90909099999999</v>
      </c>
      <c r="L20" s="8"/>
      <c r="M20" s="5"/>
      <c r="N20" s="1"/>
    </row>
    <row r="21" spans="1:14" x14ac:dyDescent="0.3">
      <c r="A21" t="s">
        <v>147</v>
      </c>
      <c r="B21" t="s">
        <v>148</v>
      </c>
      <c r="C21">
        <v>110</v>
      </c>
      <c r="D21">
        <v>813.05882399999996</v>
      </c>
      <c r="E21">
        <v>703.05882399999996</v>
      </c>
      <c r="L21" s="9"/>
      <c r="M21" s="6"/>
      <c r="N21" s="2"/>
    </row>
    <row r="22" spans="1:14" x14ac:dyDescent="0.3">
      <c r="A22" t="s">
        <v>149</v>
      </c>
      <c r="B22" t="s">
        <v>150</v>
      </c>
      <c r="C22">
        <v>265</v>
      </c>
      <c r="D22">
        <v>974.1</v>
      </c>
      <c r="E22">
        <v>709.1</v>
      </c>
      <c r="L22" s="8"/>
      <c r="M22" s="5"/>
      <c r="N22" s="1"/>
    </row>
    <row r="23" spans="1:14" x14ac:dyDescent="0.3">
      <c r="A23" t="s">
        <v>151</v>
      </c>
      <c r="B23" t="s">
        <v>152</v>
      </c>
      <c r="C23">
        <v>190</v>
      </c>
      <c r="D23">
        <v>899.38461500000005</v>
      </c>
      <c r="E23">
        <v>709.38461500000005</v>
      </c>
      <c r="L23" s="9"/>
      <c r="M23" s="6"/>
      <c r="N23" s="2"/>
    </row>
    <row r="24" spans="1:14" x14ac:dyDescent="0.3">
      <c r="A24" t="s">
        <v>153</v>
      </c>
      <c r="B24" t="s">
        <v>154</v>
      </c>
      <c r="C24">
        <v>276</v>
      </c>
      <c r="D24">
        <v>995.1</v>
      </c>
      <c r="E24">
        <v>719.1</v>
      </c>
      <c r="L24" s="8"/>
      <c r="M24" s="5"/>
      <c r="N24" s="1"/>
    </row>
    <row r="25" spans="1:14" x14ac:dyDescent="0.3">
      <c r="A25" t="s">
        <v>155</v>
      </c>
      <c r="B25" t="s">
        <v>156</v>
      </c>
      <c r="C25">
        <v>281</v>
      </c>
      <c r="D25">
        <v>1003.8888889999999</v>
      </c>
      <c r="E25">
        <v>722.88888899999995</v>
      </c>
      <c r="L25" s="9"/>
      <c r="M25" s="6"/>
      <c r="N25" s="2"/>
    </row>
    <row r="26" spans="1:14" x14ac:dyDescent="0.3">
      <c r="A26" t="s">
        <v>157</v>
      </c>
      <c r="B26" t="s">
        <v>158</v>
      </c>
      <c r="C26">
        <v>204</v>
      </c>
      <c r="D26">
        <v>937</v>
      </c>
      <c r="E26">
        <v>733</v>
      </c>
      <c r="L26" s="8"/>
      <c r="M26" s="5"/>
      <c r="N26" s="1"/>
    </row>
    <row r="27" spans="1:14" x14ac:dyDescent="0.3">
      <c r="A27" t="s">
        <v>159</v>
      </c>
      <c r="B27" t="s">
        <v>160</v>
      </c>
      <c r="C27">
        <v>218</v>
      </c>
      <c r="D27">
        <v>956.55555600000002</v>
      </c>
      <c r="E27">
        <v>738.55555600000002</v>
      </c>
      <c r="L27" s="9"/>
      <c r="M27" s="6"/>
      <c r="N27" s="2"/>
    </row>
    <row r="28" spans="1:14" x14ac:dyDescent="0.3">
      <c r="A28" t="s">
        <v>161</v>
      </c>
      <c r="B28" t="s">
        <v>162</v>
      </c>
      <c r="C28">
        <v>243</v>
      </c>
      <c r="D28">
        <v>982.38888899999995</v>
      </c>
      <c r="E28">
        <v>739.38888899999995</v>
      </c>
      <c r="L28" s="8"/>
      <c r="M28" s="5"/>
      <c r="N28" s="1"/>
    </row>
    <row r="29" spans="1:14" x14ac:dyDescent="0.3">
      <c r="A29" t="s">
        <v>163</v>
      </c>
      <c r="B29" t="s">
        <v>164</v>
      </c>
      <c r="C29">
        <v>179</v>
      </c>
      <c r="D29">
        <v>918.75</v>
      </c>
      <c r="E29">
        <v>739.75</v>
      </c>
      <c r="L29" s="9"/>
      <c r="M29" s="6"/>
      <c r="N29" s="2"/>
    </row>
    <row r="30" spans="1:14" x14ac:dyDescent="0.3">
      <c r="A30" t="s">
        <v>165</v>
      </c>
      <c r="B30" t="s">
        <v>166</v>
      </c>
      <c r="C30">
        <v>277</v>
      </c>
      <c r="D30">
        <v>1017.666667</v>
      </c>
      <c r="E30">
        <v>740.66666699999996</v>
      </c>
      <c r="L30" s="8"/>
      <c r="M30" s="5"/>
      <c r="N30" s="1"/>
    </row>
    <row r="31" spans="1:14" x14ac:dyDescent="0.3">
      <c r="A31" t="s">
        <v>167</v>
      </c>
      <c r="B31" t="s">
        <v>168</v>
      </c>
      <c r="C31">
        <v>79</v>
      </c>
      <c r="D31">
        <v>821.125</v>
      </c>
      <c r="E31">
        <v>742.125</v>
      </c>
      <c r="L31" s="9"/>
      <c r="M31" s="6"/>
      <c r="N31" s="2"/>
    </row>
    <row r="32" spans="1:14" x14ac:dyDescent="0.3">
      <c r="A32" t="s">
        <v>169</v>
      </c>
      <c r="B32" t="s">
        <v>170</v>
      </c>
      <c r="C32">
        <v>179</v>
      </c>
      <c r="D32">
        <v>922.55555600000002</v>
      </c>
      <c r="E32">
        <v>743.55555600000002</v>
      </c>
      <c r="L32" s="8"/>
      <c r="M32" s="5"/>
      <c r="N32" s="1"/>
    </row>
    <row r="33" spans="1:14" x14ac:dyDescent="0.3">
      <c r="A33" t="s">
        <v>171</v>
      </c>
      <c r="B33" t="s">
        <v>172</v>
      </c>
      <c r="C33">
        <v>162</v>
      </c>
      <c r="D33">
        <v>911.77777800000001</v>
      </c>
      <c r="E33">
        <v>749.77777800000001</v>
      </c>
      <c r="L33" s="9"/>
      <c r="M33" s="6"/>
      <c r="N33" s="2"/>
    </row>
    <row r="34" spans="1:14" x14ac:dyDescent="0.3">
      <c r="A34" t="s">
        <v>173</v>
      </c>
      <c r="B34" t="s">
        <v>174</v>
      </c>
      <c r="C34">
        <v>191</v>
      </c>
      <c r="D34">
        <v>958</v>
      </c>
      <c r="E34">
        <v>767</v>
      </c>
      <c r="L34" s="8"/>
      <c r="M34" s="5"/>
      <c r="N34" s="1"/>
    </row>
    <row r="35" spans="1:14" x14ac:dyDescent="0.3">
      <c r="A35" t="s">
        <v>175</v>
      </c>
      <c r="B35" t="s">
        <v>176</v>
      </c>
      <c r="C35">
        <v>260</v>
      </c>
      <c r="D35">
        <v>1032.058824</v>
      </c>
      <c r="E35">
        <v>772.05882399999996</v>
      </c>
      <c r="L35" s="9"/>
      <c r="M35" s="6"/>
      <c r="N35" s="2"/>
    </row>
    <row r="36" spans="1:14" x14ac:dyDescent="0.3">
      <c r="A36" t="s">
        <v>177</v>
      </c>
      <c r="B36" t="s">
        <v>178</v>
      </c>
      <c r="C36">
        <v>157</v>
      </c>
      <c r="D36">
        <v>934.66666699999996</v>
      </c>
      <c r="E36">
        <v>777.66666699999996</v>
      </c>
      <c r="L36" s="8"/>
      <c r="M36" s="5"/>
      <c r="N36" s="1"/>
    </row>
    <row r="37" spans="1:14" x14ac:dyDescent="0.3">
      <c r="A37" t="s">
        <v>179</v>
      </c>
      <c r="B37" t="s">
        <v>180</v>
      </c>
      <c r="C37">
        <v>154</v>
      </c>
      <c r="D37">
        <v>934.57142899999997</v>
      </c>
      <c r="E37">
        <v>780.57142899999997</v>
      </c>
      <c r="L37" s="9"/>
      <c r="M37" s="6"/>
      <c r="N37" s="2"/>
    </row>
    <row r="38" spans="1:14" x14ac:dyDescent="0.3">
      <c r="A38" t="s">
        <v>181</v>
      </c>
      <c r="B38" t="s">
        <v>182</v>
      </c>
      <c r="C38">
        <v>119</v>
      </c>
      <c r="D38">
        <v>906.81818199999998</v>
      </c>
      <c r="E38">
        <v>787.81818199999998</v>
      </c>
      <c r="L38" s="8"/>
      <c r="M38" s="5"/>
      <c r="N38" s="1"/>
    </row>
    <row r="39" spans="1:14" x14ac:dyDescent="0.3">
      <c r="A39" t="s">
        <v>183</v>
      </c>
      <c r="B39" t="s">
        <v>184</v>
      </c>
      <c r="C39">
        <v>122</v>
      </c>
      <c r="D39">
        <v>910.72727299999997</v>
      </c>
      <c r="E39">
        <v>788.72727299999997</v>
      </c>
      <c r="L39" s="9"/>
      <c r="M39" s="6"/>
      <c r="N39" s="2"/>
    </row>
    <row r="40" spans="1:14" x14ac:dyDescent="0.3">
      <c r="A40" t="s">
        <v>185</v>
      </c>
      <c r="B40" t="s">
        <v>186</v>
      </c>
      <c r="C40">
        <v>169</v>
      </c>
      <c r="D40">
        <v>960.30769199999997</v>
      </c>
      <c r="E40">
        <v>791.30769199999997</v>
      </c>
      <c r="L40" s="8"/>
      <c r="M40" s="5"/>
      <c r="N40" s="1"/>
    </row>
    <row r="41" spans="1:14" x14ac:dyDescent="0.3">
      <c r="A41" t="s">
        <v>187</v>
      </c>
      <c r="B41" t="s">
        <v>188</v>
      </c>
      <c r="C41">
        <v>291</v>
      </c>
      <c r="D41">
        <v>1082.5999999999999</v>
      </c>
      <c r="E41">
        <v>791.6</v>
      </c>
      <c r="L41" s="9"/>
      <c r="M41" s="6"/>
      <c r="N41" s="2"/>
    </row>
    <row r="42" spans="1:14" x14ac:dyDescent="0.3">
      <c r="A42" t="s">
        <v>189</v>
      </c>
      <c r="B42" t="s">
        <v>190</v>
      </c>
      <c r="C42">
        <v>135</v>
      </c>
      <c r="D42">
        <v>929</v>
      </c>
      <c r="E42">
        <v>794</v>
      </c>
      <c r="L42" s="8"/>
      <c r="M42" s="5"/>
      <c r="N42" s="1"/>
    </row>
    <row r="43" spans="1:14" x14ac:dyDescent="0.3">
      <c r="A43" t="s">
        <v>191</v>
      </c>
      <c r="B43" t="s">
        <v>192</v>
      </c>
      <c r="C43">
        <v>163</v>
      </c>
      <c r="D43">
        <v>965.2</v>
      </c>
      <c r="E43">
        <v>802.2</v>
      </c>
      <c r="L43" s="9"/>
      <c r="M43" s="6"/>
      <c r="N43" s="2"/>
    </row>
    <row r="44" spans="1:14" x14ac:dyDescent="0.3">
      <c r="A44" t="s">
        <v>193</v>
      </c>
      <c r="B44" t="s">
        <v>194</v>
      </c>
      <c r="C44">
        <v>202</v>
      </c>
      <c r="D44">
        <v>1010.166667</v>
      </c>
      <c r="E44">
        <v>808.16666699999996</v>
      </c>
      <c r="L44" s="8"/>
      <c r="M44" s="5"/>
      <c r="N44" s="1"/>
    </row>
    <row r="45" spans="1:14" x14ac:dyDescent="0.3">
      <c r="A45" t="s">
        <v>195</v>
      </c>
      <c r="B45" t="s">
        <v>196</v>
      </c>
      <c r="C45">
        <v>270</v>
      </c>
      <c r="D45">
        <v>1084</v>
      </c>
      <c r="E45">
        <v>814</v>
      </c>
      <c r="L45" s="9"/>
      <c r="M45" s="6"/>
      <c r="N45" s="2"/>
    </row>
    <row r="46" spans="1:14" x14ac:dyDescent="0.3">
      <c r="A46" t="s">
        <v>197</v>
      </c>
      <c r="B46" t="s">
        <v>198</v>
      </c>
      <c r="C46">
        <v>231</v>
      </c>
      <c r="D46">
        <v>1046.444444</v>
      </c>
      <c r="E46">
        <v>815.44444399999998</v>
      </c>
      <c r="L46" s="8"/>
      <c r="M46" s="5"/>
      <c r="N46" s="1"/>
    </row>
    <row r="47" spans="1:14" x14ac:dyDescent="0.3">
      <c r="A47" t="s">
        <v>199</v>
      </c>
      <c r="B47" t="s">
        <v>200</v>
      </c>
      <c r="C47">
        <v>67</v>
      </c>
      <c r="D47">
        <v>884.36363600000004</v>
      </c>
      <c r="E47">
        <v>817.36363600000004</v>
      </c>
      <c r="L47" s="9"/>
      <c r="M47" s="6"/>
      <c r="N47" s="2"/>
    </row>
    <row r="48" spans="1:14" x14ac:dyDescent="0.3">
      <c r="A48" t="s">
        <v>201</v>
      </c>
      <c r="B48" t="s">
        <v>202</v>
      </c>
      <c r="C48">
        <v>147</v>
      </c>
      <c r="D48">
        <v>965.33333300000004</v>
      </c>
      <c r="E48">
        <v>818.33333300000004</v>
      </c>
      <c r="L48" s="8"/>
      <c r="M48" s="5"/>
      <c r="N48" s="1"/>
    </row>
    <row r="49" spans="1:14" x14ac:dyDescent="0.3">
      <c r="A49" t="s">
        <v>203</v>
      </c>
      <c r="B49" t="s">
        <v>204</v>
      </c>
      <c r="C49">
        <v>107</v>
      </c>
      <c r="D49">
        <v>927.58333300000004</v>
      </c>
      <c r="E49">
        <v>820.58333300000004</v>
      </c>
      <c r="L49" s="9"/>
      <c r="M49" s="6"/>
      <c r="N49" s="2"/>
    </row>
    <row r="50" spans="1:14" x14ac:dyDescent="0.3">
      <c r="A50" t="s">
        <v>205</v>
      </c>
      <c r="B50" t="s">
        <v>206</v>
      </c>
      <c r="C50">
        <v>98</v>
      </c>
      <c r="D50">
        <v>923.83333300000004</v>
      </c>
      <c r="E50">
        <v>825.83333300000004</v>
      </c>
      <c r="L50" s="8"/>
      <c r="M50" s="5"/>
      <c r="N50" s="1"/>
    </row>
    <row r="51" spans="1:14" x14ac:dyDescent="0.3">
      <c r="A51" t="s">
        <v>207</v>
      </c>
      <c r="B51" t="s">
        <v>208</v>
      </c>
      <c r="C51">
        <v>98</v>
      </c>
      <c r="D51">
        <v>924.5</v>
      </c>
      <c r="E51">
        <v>826.5</v>
      </c>
      <c r="L51" s="9"/>
      <c r="M51" s="6"/>
      <c r="N51" s="2"/>
    </row>
    <row r="52" spans="1:14" x14ac:dyDescent="0.3">
      <c r="A52" t="s">
        <v>209</v>
      </c>
      <c r="B52" t="s">
        <v>210</v>
      </c>
      <c r="C52">
        <v>291</v>
      </c>
      <c r="D52">
        <v>1132.2222220000001</v>
      </c>
      <c r="E52">
        <v>841.22222199999999</v>
      </c>
      <c r="L52" s="8"/>
      <c r="M52" s="5"/>
      <c r="N52" s="1"/>
    </row>
    <row r="53" spans="1:14" x14ac:dyDescent="0.3">
      <c r="A53" t="s">
        <v>211</v>
      </c>
      <c r="B53" t="s">
        <v>212</v>
      </c>
      <c r="C53">
        <v>299</v>
      </c>
      <c r="D53">
        <v>1144.5454549999999</v>
      </c>
      <c r="E53">
        <v>845.54545499999995</v>
      </c>
      <c r="L53" s="9"/>
      <c r="M53" s="6"/>
      <c r="N53" s="2"/>
    </row>
    <row r="54" spans="1:14" x14ac:dyDescent="0.3">
      <c r="A54" t="s">
        <v>213</v>
      </c>
      <c r="B54" t="s">
        <v>214</v>
      </c>
      <c r="C54">
        <v>210</v>
      </c>
      <c r="D54">
        <v>1060.625</v>
      </c>
      <c r="E54">
        <v>850.625</v>
      </c>
      <c r="L54" s="8"/>
      <c r="M54" s="5"/>
      <c r="N54" s="1"/>
    </row>
    <row r="55" spans="1:14" x14ac:dyDescent="0.3">
      <c r="A55" t="s">
        <v>215</v>
      </c>
      <c r="B55" t="s">
        <v>216</v>
      </c>
      <c r="C55">
        <v>258</v>
      </c>
      <c r="D55">
        <v>1135.8888890000001</v>
      </c>
      <c r="E55">
        <v>877.88888899999995</v>
      </c>
      <c r="L55" s="9"/>
      <c r="M55" s="6"/>
      <c r="N55" s="2"/>
    </row>
    <row r="56" spans="1:14" x14ac:dyDescent="0.3">
      <c r="A56" t="s">
        <v>217</v>
      </c>
      <c r="B56" t="s">
        <v>218</v>
      </c>
      <c r="C56">
        <v>221</v>
      </c>
      <c r="D56">
        <v>1099.769231</v>
      </c>
      <c r="E56">
        <v>878.76923099999999</v>
      </c>
      <c r="L56" s="8"/>
      <c r="M56" s="5"/>
      <c r="N56" s="1"/>
    </row>
    <row r="57" spans="1:14" x14ac:dyDescent="0.3">
      <c r="A57" t="s">
        <v>219</v>
      </c>
      <c r="B57" t="s">
        <v>220</v>
      </c>
      <c r="C57">
        <v>228</v>
      </c>
      <c r="D57">
        <v>1107.916667</v>
      </c>
      <c r="E57">
        <v>879.91666699999996</v>
      </c>
      <c r="L57" s="9"/>
      <c r="M57" s="6"/>
      <c r="N57" s="2"/>
    </row>
    <row r="58" spans="1:14" x14ac:dyDescent="0.3">
      <c r="A58" t="s">
        <v>221</v>
      </c>
      <c r="B58" t="s">
        <v>222</v>
      </c>
      <c r="C58">
        <v>191</v>
      </c>
      <c r="D58">
        <v>1077.4000000000001</v>
      </c>
      <c r="E58">
        <v>886.4</v>
      </c>
      <c r="L58" s="8"/>
      <c r="M58" s="5"/>
      <c r="N58" s="1"/>
    </row>
    <row r="59" spans="1:14" x14ac:dyDescent="0.3">
      <c r="A59" t="s">
        <v>223</v>
      </c>
      <c r="B59" t="s">
        <v>224</v>
      </c>
      <c r="C59">
        <v>137</v>
      </c>
      <c r="D59">
        <v>1035</v>
      </c>
      <c r="E59">
        <v>898</v>
      </c>
      <c r="L59" s="9"/>
      <c r="M59" s="6"/>
      <c r="N59" s="2"/>
    </row>
    <row r="60" spans="1:14" x14ac:dyDescent="0.3">
      <c r="A60" t="s">
        <v>225</v>
      </c>
      <c r="B60" t="s">
        <v>226</v>
      </c>
      <c r="C60">
        <v>77</v>
      </c>
      <c r="D60">
        <v>976.75</v>
      </c>
      <c r="E60">
        <v>899.75</v>
      </c>
      <c r="L60" s="8"/>
      <c r="M60" s="5"/>
      <c r="N60" s="1"/>
    </row>
    <row r="61" spans="1:14" x14ac:dyDescent="0.3">
      <c r="A61" t="s">
        <v>227</v>
      </c>
      <c r="B61" t="s">
        <v>228</v>
      </c>
      <c r="C61">
        <v>64</v>
      </c>
      <c r="D61">
        <v>966.83333300000004</v>
      </c>
      <c r="E61">
        <v>902.83333300000004</v>
      </c>
      <c r="L61" s="9"/>
      <c r="M61" s="6"/>
      <c r="N61" s="2"/>
    </row>
    <row r="62" spans="1:14" x14ac:dyDescent="0.3">
      <c r="A62" t="s">
        <v>229</v>
      </c>
      <c r="B62" t="s">
        <v>230</v>
      </c>
      <c r="C62">
        <v>128</v>
      </c>
      <c r="D62">
        <v>1046.9000000000001</v>
      </c>
      <c r="E62">
        <v>918.9</v>
      </c>
      <c r="L62" s="8"/>
      <c r="M62" s="5"/>
      <c r="N62" s="1"/>
    </row>
    <row r="63" spans="1:14" x14ac:dyDescent="0.3">
      <c r="A63" t="s">
        <v>231</v>
      </c>
      <c r="B63" t="s">
        <v>232</v>
      </c>
      <c r="C63">
        <v>187</v>
      </c>
      <c r="D63">
        <v>1106.625</v>
      </c>
      <c r="E63">
        <v>919.625</v>
      </c>
      <c r="L63" s="9"/>
      <c r="M63" s="6"/>
      <c r="N63" s="2"/>
    </row>
    <row r="64" spans="1:14" x14ac:dyDescent="0.3">
      <c r="A64" t="s">
        <v>233</v>
      </c>
      <c r="B64" t="s">
        <v>234</v>
      </c>
      <c r="C64">
        <v>212</v>
      </c>
      <c r="D64">
        <v>1131.666667</v>
      </c>
      <c r="E64">
        <v>919.66666699999996</v>
      </c>
      <c r="L64" s="8"/>
      <c r="M64" s="5"/>
      <c r="N64" s="1"/>
    </row>
    <row r="65" spans="1:14" x14ac:dyDescent="0.3">
      <c r="A65" t="s">
        <v>235</v>
      </c>
      <c r="B65" t="s">
        <v>236</v>
      </c>
      <c r="C65">
        <v>149</v>
      </c>
      <c r="D65">
        <v>1076.2857140000001</v>
      </c>
      <c r="E65">
        <v>927.28571399999998</v>
      </c>
      <c r="L65" s="9"/>
      <c r="M65" s="6"/>
      <c r="N65" s="2"/>
    </row>
    <row r="66" spans="1:14" x14ac:dyDescent="0.3">
      <c r="A66" t="s">
        <v>237</v>
      </c>
      <c r="B66" t="s">
        <v>238</v>
      </c>
      <c r="C66">
        <v>224</v>
      </c>
      <c r="D66">
        <v>1155.2142859999999</v>
      </c>
      <c r="E66">
        <v>931.21428600000002</v>
      </c>
      <c r="L66" s="8"/>
      <c r="M66" s="5"/>
      <c r="N66" s="1"/>
    </row>
    <row r="67" spans="1:14" x14ac:dyDescent="0.3">
      <c r="A67" t="s">
        <v>239</v>
      </c>
      <c r="B67" t="s">
        <v>240</v>
      </c>
      <c r="C67">
        <v>236</v>
      </c>
      <c r="D67">
        <v>1171</v>
      </c>
      <c r="E67">
        <v>935</v>
      </c>
      <c r="L67" s="9"/>
      <c r="M67" s="6"/>
      <c r="N67" s="2"/>
    </row>
    <row r="68" spans="1:14" x14ac:dyDescent="0.3">
      <c r="A68" t="s">
        <v>241</v>
      </c>
      <c r="B68" t="s">
        <v>242</v>
      </c>
      <c r="C68">
        <v>275</v>
      </c>
      <c r="D68">
        <v>1217.9000000000001</v>
      </c>
      <c r="E68">
        <v>942.9</v>
      </c>
      <c r="L68" s="8"/>
      <c r="M68" s="5"/>
      <c r="N68" s="1"/>
    </row>
    <row r="69" spans="1:14" x14ac:dyDescent="0.3">
      <c r="A69" t="s">
        <v>243</v>
      </c>
      <c r="B69" t="s">
        <v>244</v>
      </c>
      <c r="C69">
        <v>76</v>
      </c>
      <c r="D69">
        <v>1022</v>
      </c>
      <c r="E69">
        <v>946</v>
      </c>
      <c r="L69" s="9"/>
      <c r="M69" s="6"/>
      <c r="N69" s="2"/>
    </row>
    <row r="70" spans="1:14" x14ac:dyDescent="0.3">
      <c r="A70" t="s">
        <v>245</v>
      </c>
      <c r="B70" t="s">
        <v>246</v>
      </c>
      <c r="C70">
        <v>54</v>
      </c>
      <c r="D70">
        <v>1001.666667</v>
      </c>
      <c r="E70">
        <v>947.66666699999996</v>
      </c>
      <c r="L70" s="8"/>
      <c r="M70" s="5"/>
      <c r="N70" s="1"/>
    </row>
    <row r="71" spans="1:14" x14ac:dyDescent="0.3">
      <c r="A71" t="s">
        <v>247</v>
      </c>
      <c r="B71" t="s">
        <v>248</v>
      </c>
      <c r="C71">
        <v>64</v>
      </c>
      <c r="D71">
        <v>1022.714286</v>
      </c>
      <c r="E71">
        <v>958.71428600000002</v>
      </c>
      <c r="L71" s="9"/>
      <c r="M71" s="6"/>
      <c r="N71" s="2"/>
    </row>
    <row r="72" spans="1:14" x14ac:dyDescent="0.3">
      <c r="A72" t="s">
        <v>249</v>
      </c>
      <c r="B72" t="s">
        <v>250</v>
      </c>
      <c r="C72">
        <v>104</v>
      </c>
      <c r="D72">
        <v>1063.25</v>
      </c>
      <c r="E72">
        <v>959.25</v>
      </c>
      <c r="L72" s="8"/>
      <c r="M72" s="5"/>
      <c r="N72" s="1"/>
    </row>
    <row r="73" spans="1:14" x14ac:dyDescent="0.3">
      <c r="A73" t="s">
        <v>251</v>
      </c>
      <c r="B73" t="s">
        <v>252</v>
      </c>
      <c r="C73">
        <v>90</v>
      </c>
      <c r="D73">
        <v>1054</v>
      </c>
      <c r="E73">
        <v>964</v>
      </c>
      <c r="L73" s="9"/>
      <c r="M73" s="6"/>
      <c r="N73" s="2"/>
    </row>
    <row r="74" spans="1:14" x14ac:dyDescent="0.3">
      <c r="A74" t="s">
        <v>253</v>
      </c>
      <c r="B74" t="s">
        <v>254</v>
      </c>
      <c r="C74">
        <v>222</v>
      </c>
      <c r="D74">
        <v>1191.461538</v>
      </c>
      <c r="E74">
        <v>969.46153800000002</v>
      </c>
      <c r="L74" s="8"/>
      <c r="M74" s="5"/>
      <c r="N74" s="1"/>
    </row>
    <row r="75" spans="1:14" x14ac:dyDescent="0.3">
      <c r="A75" t="s">
        <v>255</v>
      </c>
      <c r="B75" t="s">
        <v>256</v>
      </c>
      <c r="C75">
        <v>125</v>
      </c>
      <c r="D75">
        <v>1098.6923079999999</v>
      </c>
      <c r="E75">
        <v>973.69230800000003</v>
      </c>
      <c r="L75" s="9"/>
      <c r="M75" s="6"/>
      <c r="N75" s="2"/>
    </row>
    <row r="76" spans="1:14" x14ac:dyDescent="0.3">
      <c r="A76" t="s">
        <v>257</v>
      </c>
      <c r="B76" t="s">
        <v>258</v>
      </c>
      <c r="C76">
        <v>83</v>
      </c>
      <c r="D76">
        <v>1056.8888890000001</v>
      </c>
      <c r="E76">
        <v>973.88888899999995</v>
      </c>
      <c r="L76" s="8"/>
      <c r="M76" s="5"/>
      <c r="N76" s="1"/>
    </row>
    <row r="77" spans="1:14" x14ac:dyDescent="0.3">
      <c r="A77" t="s">
        <v>259</v>
      </c>
      <c r="B77" t="s">
        <v>260</v>
      </c>
      <c r="C77">
        <v>106</v>
      </c>
      <c r="D77">
        <v>1080.5</v>
      </c>
      <c r="E77">
        <v>974.5</v>
      </c>
      <c r="L77" s="9"/>
      <c r="M77" s="6"/>
      <c r="N77" s="2"/>
    </row>
    <row r="78" spans="1:14" x14ac:dyDescent="0.3">
      <c r="A78" t="s">
        <v>261</v>
      </c>
      <c r="B78" t="s">
        <v>262</v>
      </c>
      <c r="C78">
        <v>126</v>
      </c>
      <c r="D78">
        <v>1108</v>
      </c>
      <c r="E78">
        <v>982</v>
      </c>
      <c r="L78" s="8"/>
      <c r="M78" s="5"/>
      <c r="N78" s="1"/>
    </row>
    <row r="79" spans="1:14" x14ac:dyDescent="0.3">
      <c r="A79" t="s">
        <v>263</v>
      </c>
      <c r="B79" t="s">
        <v>264</v>
      </c>
      <c r="C79">
        <v>295</v>
      </c>
      <c r="D79">
        <v>1281.727273</v>
      </c>
      <c r="E79">
        <v>986.72727299999997</v>
      </c>
      <c r="L79" s="9"/>
      <c r="M79" s="6"/>
      <c r="N79" s="2"/>
    </row>
    <row r="80" spans="1:14" x14ac:dyDescent="0.3">
      <c r="A80" t="s">
        <v>265</v>
      </c>
      <c r="B80" t="s">
        <v>266</v>
      </c>
      <c r="C80">
        <v>108</v>
      </c>
      <c r="D80">
        <v>1095.916667</v>
      </c>
      <c r="E80">
        <v>987.91666699999996</v>
      </c>
      <c r="L80" s="8"/>
      <c r="M80" s="5"/>
      <c r="N80" s="1"/>
    </row>
    <row r="81" spans="1:14" x14ac:dyDescent="0.3">
      <c r="A81" t="s">
        <v>267</v>
      </c>
      <c r="B81" t="s">
        <v>268</v>
      </c>
      <c r="C81">
        <v>56</v>
      </c>
      <c r="D81">
        <v>1058.909091</v>
      </c>
      <c r="E81">
        <v>1002.909091</v>
      </c>
      <c r="L81" s="9"/>
      <c r="M81" s="6"/>
      <c r="N81" s="2"/>
    </row>
    <row r="82" spans="1:14" x14ac:dyDescent="0.3">
      <c r="A82" t="s">
        <v>269</v>
      </c>
      <c r="B82" t="s">
        <v>270</v>
      </c>
      <c r="C82">
        <v>96</v>
      </c>
      <c r="D82">
        <v>1099.166667</v>
      </c>
      <c r="E82">
        <v>1003.166667</v>
      </c>
      <c r="L82" s="8"/>
      <c r="M82" s="5"/>
      <c r="N82" s="1"/>
    </row>
    <row r="83" spans="1:14" x14ac:dyDescent="0.3">
      <c r="A83" t="s">
        <v>271</v>
      </c>
      <c r="B83" t="s">
        <v>272</v>
      </c>
      <c r="C83">
        <v>281</v>
      </c>
      <c r="D83">
        <v>1285.5999999999999</v>
      </c>
      <c r="E83">
        <v>1004.6</v>
      </c>
      <c r="L83" s="9"/>
      <c r="M83" s="6"/>
      <c r="N83" s="2"/>
    </row>
    <row r="84" spans="1:14" x14ac:dyDescent="0.3">
      <c r="A84" t="s">
        <v>273</v>
      </c>
      <c r="B84" t="s">
        <v>274</v>
      </c>
      <c r="C84">
        <v>163</v>
      </c>
      <c r="D84">
        <v>1174.5999999999999</v>
      </c>
      <c r="E84">
        <v>1011.6</v>
      </c>
      <c r="L84" s="8"/>
      <c r="M84" s="5"/>
      <c r="N84" s="1"/>
    </row>
    <row r="85" spans="1:14" x14ac:dyDescent="0.3">
      <c r="A85" t="s">
        <v>275</v>
      </c>
      <c r="B85" t="s">
        <v>276</v>
      </c>
      <c r="C85">
        <v>266</v>
      </c>
      <c r="D85">
        <v>1287.7142859999999</v>
      </c>
      <c r="E85">
        <v>1021.714286</v>
      </c>
      <c r="L85" s="9"/>
      <c r="M85" s="6"/>
      <c r="N85" s="2"/>
    </row>
    <row r="86" spans="1:14" x14ac:dyDescent="0.3">
      <c r="A86" t="s">
        <v>277</v>
      </c>
      <c r="B86" t="s">
        <v>278</v>
      </c>
      <c r="C86">
        <v>212</v>
      </c>
      <c r="D86">
        <v>1249</v>
      </c>
      <c r="E86">
        <v>1037</v>
      </c>
      <c r="L86" s="8"/>
      <c r="M86" s="5"/>
      <c r="N86" s="1"/>
    </row>
    <row r="87" spans="1:14" x14ac:dyDescent="0.3">
      <c r="A87" t="s">
        <v>279</v>
      </c>
      <c r="B87" t="s">
        <v>280</v>
      </c>
      <c r="C87">
        <v>73</v>
      </c>
      <c r="D87">
        <v>1111.5714290000001</v>
      </c>
      <c r="E87">
        <v>1038.5714290000001</v>
      </c>
      <c r="L87" s="9"/>
      <c r="M87" s="6"/>
      <c r="N87" s="2"/>
    </row>
    <row r="88" spans="1:14" x14ac:dyDescent="0.3">
      <c r="A88" t="s">
        <v>281</v>
      </c>
      <c r="B88" t="s">
        <v>282</v>
      </c>
      <c r="C88">
        <v>183</v>
      </c>
      <c r="D88">
        <v>1233</v>
      </c>
      <c r="E88">
        <v>1050</v>
      </c>
      <c r="L88" s="8"/>
      <c r="M88" s="5"/>
      <c r="N88" s="1"/>
    </row>
    <row r="89" spans="1:14" x14ac:dyDescent="0.3">
      <c r="A89" t="s">
        <v>283</v>
      </c>
      <c r="B89" t="s">
        <v>284</v>
      </c>
      <c r="C89">
        <v>256</v>
      </c>
      <c r="D89">
        <v>1315</v>
      </c>
      <c r="E89">
        <v>1059</v>
      </c>
      <c r="L89" s="9"/>
      <c r="M89" s="6"/>
      <c r="N89" s="2"/>
    </row>
    <row r="90" spans="1:14" x14ac:dyDescent="0.3">
      <c r="A90" t="s">
        <v>285</v>
      </c>
      <c r="B90" t="s">
        <v>286</v>
      </c>
      <c r="C90">
        <v>78</v>
      </c>
      <c r="D90">
        <v>1142.666667</v>
      </c>
      <c r="E90">
        <v>1064.666667</v>
      </c>
      <c r="L90" s="8"/>
      <c r="M90" s="5"/>
      <c r="N90" s="1"/>
    </row>
    <row r="91" spans="1:14" x14ac:dyDescent="0.3">
      <c r="A91" t="s">
        <v>287</v>
      </c>
      <c r="B91" t="s">
        <v>288</v>
      </c>
      <c r="C91">
        <v>100</v>
      </c>
      <c r="D91">
        <v>1181.272727</v>
      </c>
      <c r="E91">
        <v>1081.272727</v>
      </c>
      <c r="L91" s="9"/>
      <c r="M91" s="6"/>
      <c r="N91" s="2"/>
    </row>
    <row r="92" spans="1:14" x14ac:dyDescent="0.3">
      <c r="A92" t="s">
        <v>289</v>
      </c>
      <c r="B92" t="s">
        <v>290</v>
      </c>
      <c r="C92">
        <v>66</v>
      </c>
      <c r="D92">
        <v>1147.555556</v>
      </c>
      <c r="E92">
        <v>1081.555556</v>
      </c>
      <c r="L92" s="8"/>
      <c r="M92" s="5"/>
      <c r="N92" s="1"/>
    </row>
    <row r="93" spans="1:14" x14ac:dyDescent="0.3">
      <c r="A93" t="s">
        <v>291</v>
      </c>
      <c r="B93" t="s">
        <v>292</v>
      </c>
      <c r="C93">
        <v>72</v>
      </c>
      <c r="D93">
        <v>1166.4285709999999</v>
      </c>
      <c r="E93">
        <v>1094.4285709999999</v>
      </c>
      <c r="L93" s="9"/>
      <c r="M93" s="6"/>
      <c r="N93" s="2"/>
    </row>
    <row r="94" spans="1:14" x14ac:dyDescent="0.3">
      <c r="A94" t="s">
        <v>293</v>
      </c>
      <c r="B94" t="s">
        <v>294</v>
      </c>
      <c r="C94">
        <v>112</v>
      </c>
      <c r="D94">
        <v>1223.5</v>
      </c>
      <c r="E94">
        <v>1111.5</v>
      </c>
      <c r="L94" s="8"/>
      <c r="M94" s="5"/>
      <c r="N94" s="1"/>
    </row>
    <row r="95" spans="1:14" x14ac:dyDescent="0.3">
      <c r="A95" t="s">
        <v>295</v>
      </c>
      <c r="B95" t="s">
        <v>296</v>
      </c>
      <c r="C95">
        <v>152</v>
      </c>
      <c r="D95">
        <v>1283.555556</v>
      </c>
      <c r="E95">
        <v>1131.555556</v>
      </c>
      <c r="L95" s="9"/>
      <c r="M95" s="6"/>
      <c r="N95" s="2"/>
    </row>
    <row r="96" spans="1:14" x14ac:dyDescent="0.3">
      <c r="A96" t="s">
        <v>297</v>
      </c>
      <c r="B96" t="s">
        <v>298</v>
      </c>
      <c r="C96">
        <v>61</v>
      </c>
      <c r="D96">
        <v>1192.909091</v>
      </c>
      <c r="E96">
        <v>1131.909091</v>
      </c>
      <c r="L96" s="8"/>
      <c r="M96" s="5"/>
      <c r="N96" s="1"/>
    </row>
    <row r="97" spans="1:14" x14ac:dyDescent="0.3">
      <c r="A97" t="s">
        <v>299</v>
      </c>
      <c r="B97" t="s">
        <v>300</v>
      </c>
      <c r="C97">
        <v>245</v>
      </c>
      <c r="D97">
        <v>1398.333333</v>
      </c>
      <c r="E97">
        <v>1153.333333</v>
      </c>
      <c r="L97" s="9"/>
      <c r="M97" s="6"/>
      <c r="N97" s="2"/>
    </row>
    <row r="98" spans="1:14" x14ac:dyDescent="0.3">
      <c r="A98" t="s">
        <v>301</v>
      </c>
      <c r="B98" t="s">
        <v>302</v>
      </c>
      <c r="C98">
        <v>160</v>
      </c>
      <c r="D98">
        <v>1323</v>
      </c>
      <c r="E98">
        <v>1163</v>
      </c>
      <c r="L98" s="8"/>
      <c r="M98" s="5"/>
      <c r="N98" s="1"/>
    </row>
    <row r="99" spans="1:14" x14ac:dyDescent="0.3">
      <c r="A99" t="s">
        <v>303</v>
      </c>
      <c r="B99" t="s">
        <v>304</v>
      </c>
      <c r="C99">
        <v>228</v>
      </c>
      <c r="D99">
        <v>1430.875</v>
      </c>
      <c r="E99">
        <v>1202.875</v>
      </c>
      <c r="L99" s="9"/>
      <c r="M99" s="6"/>
      <c r="N99" s="2"/>
    </row>
    <row r="100" spans="1:14" x14ac:dyDescent="0.3">
      <c r="A100" t="s">
        <v>305</v>
      </c>
      <c r="B100" t="s">
        <v>306</v>
      </c>
      <c r="C100">
        <v>50</v>
      </c>
      <c r="D100">
        <v>1259.375</v>
      </c>
      <c r="E100">
        <v>1209.375</v>
      </c>
      <c r="L100" s="8"/>
      <c r="M100" s="5"/>
      <c r="N100" s="1"/>
    </row>
    <row r="101" spans="1:14" x14ac:dyDescent="0.3">
      <c r="A101" t="s">
        <v>307</v>
      </c>
      <c r="B101" t="s">
        <v>308</v>
      </c>
      <c r="C101">
        <v>238</v>
      </c>
      <c r="D101">
        <v>1458.166667</v>
      </c>
      <c r="E101">
        <v>1220.166667</v>
      </c>
      <c r="L101" s="9"/>
      <c r="M101" s="6"/>
      <c r="N101" s="2"/>
    </row>
  </sheetData>
  <autoFilter ref="L1:N1" xr:uid="{2B57BA88-DBF1-4264-90C4-9DD431DF2C8B}">
    <sortState xmlns:xlrd2="http://schemas.microsoft.com/office/spreadsheetml/2017/richdata2" ref="L2:N101">
      <sortCondition ref="N1"/>
    </sortState>
  </autoFilter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20AF-AD14-4396-99EE-5CCDD6941BA8}">
  <dimension ref="A1:H51"/>
  <sheetViews>
    <sheetView workbookViewId="0">
      <selection activeCell="F19" sqref="F19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16.5546875" bestFit="1" customWidth="1"/>
    <col min="4" max="4" width="20.109375" bestFit="1" customWidth="1"/>
    <col min="7" max="7" width="10.77734375" customWidth="1"/>
    <col min="8" max="8" width="1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s="18" t="s">
        <v>1</v>
      </c>
      <c r="H1" s="19" t="s">
        <v>3</v>
      </c>
    </row>
    <row r="2" spans="1:8" x14ac:dyDescent="0.3">
      <c r="A2" t="s">
        <v>4</v>
      </c>
      <c r="B2" t="s">
        <v>5</v>
      </c>
      <c r="C2">
        <v>30</v>
      </c>
      <c r="D2">
        <v>46.67</v>
      </c>
      <c r="G2" s="21" t="s">
        <v>5</v>
      </c>
      <c r="H2" s="22">
        <v>46.67</v>
      </c>
    </row>
    <row r="3" spans="1:8" x14ac:dyDescent="0.3">
      <c r="A3" t="s">
        <v>6</v>
      </c>
      <c r="B3" t="s">
        <v>7</v>
      </c>
      <c r="C3">
        <v>35</v>
      </c>
      <c r="D3">
        <v>40</v>
      </c>
      <c r="G3" s="24" t="s">
        <v>7</v>
      </c>
      <c r="H3" s="25">
        <v>40</v>
      </c>
    </row>
    <row r="4" spans="1:8" x14ac:dyDescent="0.3">
      <c r="A4" t="s">
        <v>8</v>
      </c>
      <c r="B4" t="s">
        <v>9</v>
      </c>
      <c r="C4">
        <v>23</v>
      </c>
      <c r="D4">
        <v>39.130000000000003</v>
      </c>
      <c r="G4" s="21" t="s">
        <v>9</v>
      </c>
      <c r="H4" s="22">
        <v>39.130000000000003</v>
      </c>
    </row>
    <row r="5" spans="1:8" x14ac:dyDescent="0.3">
      <c r="A5" t="s">
        <v>10</v>
      </c>
      <c r="B5" t="s">
        <v>11</v>
      </c>
      <c r="C5">
        <v>29</v>
      </c>
      <c r="D5">
        <v>37.93</v>
      </c>
      <c r="G5" s="24" t="s">
        <v>11</v>
      </c>
      <c r="H5" s="25">
        <v>37.93</v>
      </c>
    </row>
    <row r="6" spans="1:8" x14ac:dyDescent="0.3">
      <c r="A6" t="s">
        <v>12</v>
      </c>
      <c r="B6" t="s">
        <v>13</v>
      </c>
      <c r="C6">
        <v>32</v>
      </c>
      <c r="D6">
        <v>37.5</v>
      </c>
      <c r="G6" s="21" t="s">
        <v>13</v>
      </c>
      <c r="H6" s="22">
        <v>37.5</v>
      </c>
    </row>
    <row r="7" spans="1:8" x14ac:dyDescent="0.3">
      <c r="A7" t="s">
        <v>14</v>
      </c>
      <c r="B7" t="s">
        <v>15</v>
      </c>
      <c r="C7">
        <v>27</v>
      </c>
      <c r="D7">
        <v>37.04</v>
      </c>
      <c r="G7" s="24" t="s">
        <v>15</v>
      </c>
      <c r="H7" s="25">
        <v>37.04</v>
      </c>
    </row>
    <row r="8" spans="1:8" x14ac:dyDescent="0.3">
      <c r="A8" t="s">
        <v>16</v>
      </c>
      <c r="B8" t="s">
        <v>17</v>
      </c>
      <c r="C8">
        <v>31</v>
      </c>
      <c r="D8">
        <v>35.479999999999997</v>
      </c>
      <c r="G8" s="21" t="s">
        <v>17</v>
      </c>
      <c r="H8" s="22">
        <v>35.479999999999997</v>
      </c>
    </row>
    <row r="9" spans="1:8" x14ac:dyDescent="0.3">
      <c r="A9" t="s">
        <v>18</v>
      </c>
      <c r="B9" t="s">
        <v>19</v>
      </c>
      <c r="C9">
        <v>29</v>
      </c>
      <c r="D9">
        <v>34.479999999999997</v>
      </c>
      <c r="G9" s="24" t="s">
        <v>19</v>
      </c>
      <c r="H9" s="25">
        <v>34.479999999999997</v>
      </c>
    </row>
    <row r="10" spans="1:8" x14ac:dyDescent="0.3">
      <c r="A10" t="s">
        <v>20</v>
      </c>
      <c r="B10" t="s">
        <v>21</v>
      </c>
      <c r="C10">
        <v>43</v>
      </c>
      <c r="D10">
        <v>32.56</v>
      </c>
      <c r="G10" s="21" t="s">
        <v>21</v>
      </c>
      <c r="H10" s="22">
        <v>32.56</v>
      </c>
    </row>
    <row r="11" spans="1:8" x14ac:dyDescent="0.3">
      <c r="A11" t="s">
        <v>22</v>
      </c>
      <c r="B11" t="s">
        <v>23</v>
      </c>
      <c r="C11">
        <v>31</v>
      </c>
      <c r="D11">
        <v>32.26</v>
      </c>
      <c r="G11" s="24" t="s">
        <v>23</v>
      </c>
      <c r="H11" s="25">
        <v>32.26</v>
      </c>
    </row>
    <row r="12" spans="1:8" x14ac:dyDescent="0.3">
      <c r="A12" t="s">
        <v>24</v>
      </c>
      <c r="B12" t="s">
        <v>25</v>
      </c>
      <c r="C12">
        <v>22</v>
      </c>
      <c r="D12">
        <v>31.82</v>
      </c>
    </row>
    <row r="13" spans="1:8" x14ac:dyDescent="0.3">
      <c r="A13" t="s">
        <v>26</v>
      </c>
      <c r="B13" t="s">
        <v>27</v>
      </c>
      <c r="C13">
        <v>32</v>
      </c>
      <c r="D13">
        <v>31.25</v>
      </c>
    </row>
    <row r="14" spans="1:8" x14ac:dyDescent="0.3">
      <c r="A14" t="s">
        <v>28</v>
      </c>
      <c r="B14" t="s">
        <v>29</v>
      </c>
      <c r="C14">
        <v>43</v>
      </c>
      <c r="D14">
        <v>30.23</v>
      </c>
    </row>
    <row r="15" spans="1:8" x14ac:dyDescent="0.3">
      <c r="A15" t="s">
        <v>30</v>
      </c>
      <c r="B15" t="s">
        <v>31</v>
      </c>
      <c r="C15">
        <v>20</v>
      </c>
      <c r="D15">
        <v>30</v>
      </c>
    </row>
    <row r="16" spans="1:8" x14ac:dyDescent="0.3">
      <c r="A16" t="s">
        <v>32</v>
      </c>
      <c r="B16" t="s">
        <v>33</v>
      </c>
      <c r="C16">
        <v>31</v>
      </c>
      <c r="D16">
        <v>29.03</v>
      </c>
    </row>
    <row r="17" spans="1:4" x14ac:dyDescent="0.3">
      <c r="A17" t="s">
        <v>34</v>
      </c>
      <c r="B17" t="s">
        <v>35</v>
      </c>
      <c r="C17">
        <v>31</v>
      </c>
      <c r="D17">
        <v>29.03</v>
      </c>
    </row>
    <row r="18" spans="1:4" x14ac:dyDescent="0.3">
      <c r="A18" t="s">
        <v>36</v>
      </c>
      <c r="B18" t="s">
        <v>37</v>
      </c>
      <c r="C18">
        <v>28</v>
      </c>
      <c r="D18">
        <v>28.57</v>
      </c>
    </row>
    <row r="19" spans="1:4" x14ac:dyDescent="0.3">
      <c r="A19" t="s">
        <v>38</v>
      </c>
      <c r="B19" t="s">
        <v>39</v>
      </c>
      <c r="C19">
        <v>32</v>
      </c>
      <c r="D19">
        <v>28.13</v>
      </c>
    </row>
    <row r="20" spans="1:4" x14ac:dyDescent="0.3">
      <c r="A20" t="s">
        <v>40</v>
      </c>
      <c r="B20" t="s">
        <v>41</v>
      </c>
      <c r="C20">
        <v>25</v>
      </c>
      <c r="D20">
        <v>28</v>
      </c>
    </row>
    <row r="21" spans="1:4" x14ac:dyDescent="0.3">
      <c r="A21" t="s">
        <v>42</v>
      </c>
      <c r="B21" t="s">
        <v>43</v>
      </c>
      <c r="C21">
        <v>36</v>
      </c>
      <c r="D21">
        <v>27.78</v>
      </c>
    </row>
    <row r="22" spans="1:4" x14ac:dyDescent="0.3">
      <c r="A22" t="s">
        <v>44</v>
      </c>
      <c r="B22" t="s">
        <v>45</v>
      </c>
      <c r="C22">
        <v>26</v>
      </c>
      <c r="D22">
        <v>26.92</v>
      </c>
    </row>
    <row r="23" spans="1:4" x14ac:dyDescent="0.3">
      <c r="A23" t="s">
        <v>46</v>
      </c>
      <c r="B23" t="s">
        <v>47</v>
      </c>
      <c r="C23">
        <v>30</v>
      </c>
      <c r="D23">
        <v>26.67</v>
      </c>
    </row>
    <row r="24" spans="1:4" x14ac:dyDescent="0.3">
      <c r="A24" t="s">
        <v>48</v>
      </c>
      <c r="B24" t="s">
        <v>49</v>
      </c>
      <c r="C24">
        <v>23</v>
      </c>
      <c r="D24">
        <v>26.09</v>
      </c>
    </row>
    <row r="25" spans="1:4" x14ac:dyDescent="0.3">
      <c r="A25" t="s">
        <v>50</v>
      </c>
      <c r="B25" t="s">
        <v>51</v>
      </c>
      <c r="C25">
        <v>31</v>
      </c>
      <c r="D25">
        <v>25.81</v>
      </c>
    </row>
    <row r="26" spans="1:4" x14ac:dyDescent="0.3">
      <c r="A26" t="s">
        <v>52</v>
      </c>
      <c r="B26" t="s">
        <v>53</v>
      </c>
      <c r="C26">
        <v>31</v>
      </c>
      <c r="D26">
        <v>25.81</v>
      </c>
    </row>
    <row r="27" spans="1:4" x14ac:dyDescent="0.3">
      <c r="A27" t="s">
        <v>54</v>
      </c>
      <c r="B27" t="s">
        <v>55</v>
      </c>
      <c r="C27">
        <v>39</v>
      </c>
      <c r="D27">
        <v>25.64</v>
      </c>
    </row>
    <row r="28" spans="1:4" x14ac:dyDescent="0.3">
      <c r="A28" t="s">
        <v>56</v>
      </c>
      <c r="B28" t="s">
        <v>57</v>
      </c>
      <c r="C28">
        <v>32</v>
      </c>
      <c r="D28">
        <v>25</v>
      </c>
    </row>
    <row r="29" spans="1:4" x14ac:dyDescent="0.3">
      <c r="A29" t="s">
        <v>58</v>
      </c>
      <c r="B29" t="s">
        <v>59</v>
      </c>
      <c r="C29">
        <v>28</v>
      </c>
      <c r="D29">
        <v>25</v>
      </c>
    </row>
    <row r="30" spans="1:4" x14ac:dyDescent="0.3">
      <c r="A30" t="s">
        <v>60</v>
      </c>
      <c r="B30" t="s">
        <v>61</v>
      </c>
      <c r="C30">
        <v>37</v>
      </c>
      <c r="D30">
        <v>24.32</v>
      </c>
    </row>
    <row r="31" spans="1:4" x14ac:dyDescent="0.3">
      <c r="A31" t="s">
        <v>62</v>
      </c>
      <c r="B31" t="s">
        <v>63</v>
      </c>
      <c r="C31">
        <v>33</v>
      </c>
      <c r="D31">
        <v>24.24</v>
      </c>
    </row>
    <row r="32" spans="1:4" x14ac:dyDescent="0.3">
      <c r="A32" t="s">
        <v>64</v>
      </c>
      <c r="B32" t="s">
        <v>65</v>
      </c>
      <c r="C32">
        <v>29</v>
      </c>
      <c r="D32">
        <v>24.14</v>
      </c>
    </row>
    <row r="33" spans="1:4" x14ac:dyDescent="0.3">
      <c r="A33" t="s">
        <v>66</v>
      </c>
      <c r="B33" t="s">
        <v>67</v>
      </c>
      <c r="C33">
        <v>29</v>
      </c>
      <c r="D33">
        <v>24.14</v>
      </c>
    </row>
    <row r="34" spans="1:4" x14ac:dyDescent="0.3">
      <c r="A34" t="s">
        <v>68</v>
      </c>
      <c r="B34" t="s">
        <v>69</v>
      </c>
      <c r="C34">
        <v>21</v>
      </c>
      <c r="D34">
        <v>23.81</v>
      </c>
    </row>
    <row r="35" spans="1:4" x14ac:dyDescent="0.3">
      <c r="A35" t="s">
        <v>70</v>
      </c>
      <c r="B35" t="s">
        <v>71</v>
      </c>
      <c r="C35">
        <v>34</v>
      </c>
      <c r="D35">
        <v>23.53</v>
      </c>
    </row>
    <row r="36" spans="1:4" x14ac:dyDescent="0.3">
      <c r="A36" t="s">
        <v>72</v>
      </c>
      <c r="B36" t="s">
        <v>73</v>
      </c>
      <c r="C36">
        <v>30</v>
      </c>
      <c r="D36">
        <v>23.33</v>
      </c>
    </row>
    <row r="37" spans="1:4" x14ac:dyDescent="0.3">
      <c r="A37" t="s">
        <v>74</v>
      </c>
      <c r="B37" t="s">
        <v>75</v>
      </c>
      <c r="C37">
        <v>31</v>
      </c>
      <c r="D37">
        <v>22.58</v>
      </c>
    </row>
    <row r="38" spans="1:4" x14ac:dyDescent="0.3">
      <c r="A38" t="s">
        <v>76</v>
      </c>
      <c r="B38" t="s">
        <v>77</v>
      </c>
      <c r="C38">
        <v>28</v>
      </c>
      <c r="D38">
        <v>21.43</v>
      </c>
    </row>
    <row r="39" spans="1:4" x14ac:dyDescent="0.3">
      <c r="A39" t="s">
        <v>78</v>
      </c>
      <c r="B39" t="s">
        <v>79</v>
      </c>
      <c r="C39">
        <v>29</v>
      </c>
      <c r="D39">
        <v>20.69</v>
      </c>
    </row>
    <row r="40" spans="1:4" x14ac:dyDescent="0.3">
      <c r="A40" t="s">
        <v>80</v>
      </c>
      <c r="B40" t="s">
        <v>81</v>
      </c>
      <c r="C40">
        <v>25</v>
      </c>
      <c r="D40">
        <v>20</v>
      </c>
    </row>
    <row r="41" spans="1:4" x14ac:dyDescent="0.3">
      <c r="A41" t="s">
        <v>82</v>
      </c>
      <c r="B41" t="s">
        <v>83</v>
      </c>
      <c r="C41">
        <v>32</v>
      </c>
      <c r="D41">
        <v>18.75</v>
      </c>
    </row>
    <row r="42" spans="1:4" x14ac:dyDescent="0.3">
      <c r="A42" t="s">
        <v>84</v>
      </c>
      <c r="B42" t="s">
        <v>85</v>
      </c>
      <c r="C42">
        <v>23</v>
      </c>
      <c r="D42">
        <v>17.39</v>
      </c>
    </row>
    <row r="43" spans="1:4" x14ac:dyDescent="0.3">
      <c r="A43" t="s">
        <v>86</v>
      </c>
      <c r="B43" t="s">
        <v>87</v>
      </c>
      <c r="C43">
        <v>35</v>
      </c>
      <c r="D43">
        <v>17.14</v>
      </c>
    </row>
    <row r="44" spans="1:4" x14ac:dyDescent="0.3">
      <c r="A44" t="s">
        <v>88</v>
      </c>
      <c r="B44" t="s">
        <v>89</v>
      </c>
      <c r="C44">
        <v>24</v>
      </c>
      <c r="D44">
        <v>16.670000000000002</v>
      </c>
    </row>
    <row r="45" spans="1:4" x14ac:dyDescent="0.3">
      <c r="A45" t="s">
        <v>90</v>
      </c>
      <c r="B45" t="s">
        <v>91</v>
      </c>
      <c r="C45">
        <v>30</v>
      </c>
      <c r="D45">
        <v>16.670000000000002</v>
      </c>
    </row>
    <row r="46" spans="1:4" x14ac:dyDescent="0.3">
      <c r="A46" t="s">
        <v>92</v>
      </c>
      <c r="B46" t="s">
        <v>93</v>
      </c>
      <c r="C46">
        <v>31</v>
      </c>
      <c r="D46">
        <v>16.13</v>
      </c>
    </row>
    <row r="47" spans="1:4" x14ac:dyDescent="0.3">
      <c r="A47" t="s">
        <v>94</v>
      </c>
      <c r="B47" t="s">
        <v>95</v>
      </c>
      <c r="C47">
        <v>31</v>
      </c>
      <c r="D47">
        <v>16.13</v>
      </c>
    </row>
    <row r="48" spans="1:4" x14ac:dyDescent="0.3">
      <c r="A48" t="s">
        <v>96</v>
      </c>
      <c r="B48" t="s">
        <v>97</v>
      </c>
      <c r="C48">
        <v>27</v>
      </c>
      <c r="D48">
        <v>14.81</v>
      </c>
    </row>
    <row r="49" spans="1:4" x14ac:dyDescent="0.3">
      <c r="A49" t="s">
        <v>98</v>
      </c>
      <c r="B49" t="s">
        <v>99</v>
      </c>
      <c r="C49">
        <v>31</v>
      </c>
      <c r="D49">
        <v>9.68</v>
      </c>
    </row>
    <row r="50" spans="1:4" x14ac:dyDescent="0.3">
      <c r="A50" t="s">
        <v>100</v>
      </c>
      <c r="B50" t="s">
        <v>101</v>
      </c>
      <c r="C50">
        <v>32</v>
      </c>
      <c r="D50">
        <v>9.3800000000000008</v>
      </c>
    </row>
    <row r="51" spans="1:4" x14ac:dyDescent="0.3">
      <c r="A51" t="s">
        <v>102</v>
      </c>
      <c r="B51" t="s">
        <v>103</v>
      </c>
      <c r="C51">
        <v>28</v>
      </c>
      <c r="D51">
        <v>7.14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7B61-E9B3-4FC7-B58E-FB4C90306547}">
  <dimension ref="A1:E16"/>
  <sheetViews>
    <sheetView zoomScale="102" zoomScaleNormal="102" workbookViewId="0">
      <selection activeCell="E15" sqref="E15"/>
    </sheetView>
  </sheetViews>
  <sheetFormatPr defaultRowHeight="14.4" x14ac:dyDescent="0.3"/>
  <cols>
    <col min="1" max="1" width="31.88671875" customWidth="1"/>
    <col min="2" max="2" width="26.6640625" style="3" customWidth="1"/>
    <col min="5" max="5" width="34.109375" customWidth="1"/>
    <col min="6" max="6" width="20.5546875" bestFit="1" customWidth="1"/>
  </cols>
  <sheetData>
    <row r="1" spans="1:5" ht="18" x14ac:dyDescent="0.35">
      <c r="A1" s="41" t="s">
        <v>313</v>
      </c>
      <c r="B1" s="42" t="s">
        <v>314</v>
      </c>
      <c r="E1" s="48" t="s">
        <v>332</v>
      </c>
    </row>
    <row r="2" spans="1:5" ht="28.8" x14ac:dyDescent="0.4">
      <c r="A2" s="38" t="s">
        <v>315</v>
      </c>
      <c r="B2" s="26">
        <v>100</v>
      </c>
      <c r="E2" s="47" t="s">
        <v>333</v>
      </c>
    </row>
    <row r="3" spans="1:5" ht="18.600000000000001" customHeight="1" x14ac:dyDescent="0.4">
      <c r="A3" s="38" t="s">
        <v>316</v>
      </c>
      <c r="B3" s="26">
        <v>50</v>
      </c>
      <c r="E3" s="47" t="s">
        <v>334</v>
      </c>
    </row>
    <row r="4" spans="1:5" ht="21" x14ac:dyDescent="0.4">
      <c r="A4" s="38" t="s">
        <v>317</v>
      </c>
      <c r="B4" s="26">
        <v>1500</v>
      </c>
      <c r="E4" s="47" t="s">
        <v>335</v>
      </c>
    </row>
    <row r="5" spans="1:5" ht="21" x14ac:dyDescent="0.4">
      <c r="A5" s="38" t="s">
        <v>318</v>
      </c>
      <c r="B5" s="26">
        <v>1500</v>
      </c>
      <c r="E5" s="47" t="s">
        <v>336</v>
      </c>
    </row>
    <row r="6" spans="1:5" ht="21" x14ac:dyDescent="0.4">
      <c r="A6" s="39" t="s">
        <v>338</v>
      </c>
      <c r="B6" s="40">
        <v>0.25800000000000001</v>
      </c>
      <c r="E6" s="49" t="s">
        <v>337</v>
      </c>
    </row>
    <row r="7" spans="1:5" ht="21" x14ac:dyDescent="0.4">
      <c r="A7" s="38" t="s">
        <v>319</v>
      </c>
      <c r="B7" s="26" t="s">
        <v>91</v>
      </c>
    </row>
    <row r="8" spans="1:5" ht="21" x14ac:dyDescent="0.4">
      <c r="A8" s="38" t="s">
        <v>320</v>
      </c>
      <c r="B8" s="26" t="s">
        <v>321</v>
      </c>
    </row>
    <row r="9" spans="1:5" ht="21" x14ac:dyDescent="0.4">
      <c r="A9" s="43" t="s">
        <v>339</v>
      </c>
      <c r="B9" s="44">
        <v>2</v>
      </c>
    </row>
    <row r="12" spans="1:5" ht="18" x14ac:dyDescent="0.3">
      <c r="A12" s="52" t="s">
        <v>322</v>
      </c>
      <c r="B12" s="53" t="s">
        <v>323</v>
      </c>
    </row>
    <row r="13" spans="1:5" x14ac:dyDescent="0.3">
      <c r="A13" s="46" t="s">
        <v>324</v>
      </c>
      <c r="B13" s="50" t="s">
        <v>325</v>
      </c>
    </row>
    <row r="14" spans="1:5" x14ac:dyDescent="0.3">
      <c r="A14" s="38" t="s">
        <v>331</v>
      </c>
      <c r="B14" s="51" t="s">
        <v>326</v>
      </c>
    </row>
    <row r="15" spans="1:5" x14ac:dyDescent="0.3">
      <c r="A15" s="38" t="s">
        <v>327</v>
      </c>
      <c r="B15" s="51" t="s">
        <v>328</v>
      </c>
    </row>
    <row r="16" spans="1:5" x14ac:dyDescent="0.3">
      <c r="A16" s="43" t="s">
        <v>329</v>
      </c>
      <c r="B16" s="45" t="s">
        <v>330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9996-71FB-44C8-9DE9-C775AA1720C4}">
  <dimension ref="A1:N2"/>
  <sheetViews>
    <sheetView showGridLines="0" tabSelected="1" workbookViewId="0">
      <selection activeCell="M20" sqref="M20"/>
    </sheetView>
  </sheetViews>
  <sheetFormatPr defaultRowHeight="14.4" x14ac:dyDescent="0.3"/>
  <cols>
    <col min="1" max="1" width="30.6640625" customWidth="1"/>
    <col min="2" max="2" width="9" bestFit="1" customWidth="1"/>
    <col min="3" max="3" width="23.77734375" customWidth="1"/>
    <col min="4" max="4" width="13.21875" customWidth="1"/>
    <col min="5" max="5" width="27.77734375" customWidth="1"/>
    <col min="6" max="6" width="15.5546875" customWidth="1"/>
    <col min="7" max="7" width="26.88671875" customWidth="1"/>
    <col min="8" max="8" width="10.33203125" bestFit="1" customWidth="1"/>
    <col min="9" max="9" width="20.109375" customWidth="1"/>
    <col min="11" max="11" width="14.44140625" customWidth="1"/>
    <col min="12" max="12" width="13.44140625" bestFit="1" customWidth="1"/>
    <col min="13" max="13" width="18.109375" customWidth="1"/>
    <col min="14" max="14" width="9.44140625" customWidth="1"/>
  </cols>
  <sheetData>
    <row r="1" spans="1:14" ht="25.8" customHeight="1" x14ac:dyDescent="0.3">
      <c r="A1" s="29" t="s">
        <v>346</v>
      </c>
      <c r="B1" s="34">
        <v>100</v>
      </c>
      <c r="C1" s="29" t="s">
        <v>316</v>
      </c>
      <c r="D1" s="34">
        <v>50</v>
      </c>
      <c r="E1" s="29" t="s">
        <v>317</v>
      </c>
      <c r="F1" s="34">
        <v>1500</v>
      </c>
      <c r="G1" s="29" t="s">
        <v>318</v>
      </c>
      <c r="H1" s="30">
        <v>1500</v>
      </c>
      <c r="M1" s="27"/>
      <c r="N1" s="27"/>
    </row>
    <row r="2" spans="1:14" ht="27" customHeight="1" thickBot="1" x14ac:dyDescent="0.35">
      <c r="A2" s="28" t="s">
        <v>339</v>
      </c>
      <c r="B2" s="36">
        <v>2</v>
      </c>
      <c r="C2" s="31" t="s">
        <v>320</v>
      </c>
      <c r="D2" s="35" t="s">
        <v>321</v>
      </c>
      <c r="E2" s="31" t="s">
        <v>319</v>
      </c>
      <c r="F2" s="32" t="s">
        <v>91</v>
      </c>
      <c r="G2" s="33" t="s">
        <v>347</v>
      </c>
      <c r="H2" s="37"/>
      <c r="I2" s="16"/>
      <c r="J2" s="16"/>
      <c r="K2" s="16"/>
      <c r="L2" s="16"/>
      <c r="M2" s="16"/>
      <c r="N2" s="16"/>
    </row>
  </sheetData>
  <mergeCells count="1">
    <mergeCell ref="G2:H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E21DB-DC7A-41FE-9839-67F793001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 Delay Analysis_2026-06</vt:lpstr>
      <vt:lpstr>Top 10 Suppliers </vt:lpstr>
      <vt:lpstr>Demand vs Supply Analysis_2026-</vt:lpstr>
      <vt:lpstr>Inventory Stock Buffer Analysis</vt:lpstr>
      <vt:lpstr>Supplier On-Time Performance_20</vt:lpstr>
      <vt:lpstr>Executive Summary</vt:lpstr>
      <vt:lpstr>Supplier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aarati kuchekar</dc:creator>
  <cp:lastModifiedBy>aarati kuchekar</cp:lastModifiedBy>
  <dcterms:created xsi:type="dcterms:W3CDTF">2026-06-19T19:05:19Z</dcterms:created>
  <dcterms:modified xsi:type="dcterms:W3CDTF">2026-06-24T11:50:58Z</dcterms:modified>
</cp:coreProperties>
</file>